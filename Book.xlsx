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Blad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lver Code" sheetId="3" state="visible" r:id="rId3"/>
    <sheet xmlns:r="http://schemas.openxmlformats.org/officeDocument/2006/relationships" name="CLAUDE.md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FF"/>
      <sz val="11"/>
      <scheme val="minor"/>
    </font>
    <font>
      <name val="Calibri"/>
      <family val="2"/>
      <i val="1"/>
      <color rgb="FF80808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C0C0C0"/>
      <sz val="11"/>
      <scheme val="minor"/>
    </font>
    <font>
      <name val="Calibri"/>
      <family val="2"/>
      <b val="1"/>
      <color rgb="FFC0C0C0"/>
      <sz val="11"/>
      <scheme val="minor"/>
    </font>
    <font>
      <name val="Calibri"/>
      <family val="2"/>
      <b val="1"/>
      <color rgb="FFFF0000"/>
      <sz val="11"/>
      <scheme val="minor"/>
    </font>
    <font>
      <name val="Consolas"/>
      <b val="1"/>
      <color theme="1"/>
      <sz val="14"/>
    </font>
    <font>
      <name val="Consolas"/>
      <color theme="1"/>
      <sz val="11"/>
    </font>
    <font>
      <name val="Consolas"/>
      <color theme="1"/>
      <sz val="9"/>
    </font>
  </fonts>
  <fills count="8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1" fillId="5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9" fontId="4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0" fillId="7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right"/>
    </xf>
    <xf numFmtId="0" fontId="2" fillId="6" borderId="0" applyAlignment="1" pivotButton="0" quotePrefix="0" xfId="0">
      <alignment horizontal="center"/>
    </xf>
    <xf numFmtId="165" fontId="0" fillId="4" borderId="0" pivotButton="0" quotePrefix="0" xfId="0"/>
    <xf numFmtId="3" fontId="11" fillId="4" borderId="0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2" fillId="4" borderId="0" pivotButton="0" quotePrefix="0" xfId="0"/>
    <xf numFmtId="0" fontId="1" fillId="4" borderId="0" pivotButton="0" quotePrefix="0" xfId="0"/>
    <xf numFmtId="3" fontId="12" fillId="4" borderId="0" applyAlignment="1" pivotButton="0" quotePrefix="0" xfId="0">
      <alignment horizontal="right"/>
    </xf>
    <xf numFmtId="3" fontId="2" fillId="4" borderId="0" pivotButton="0" quotePrefix="0" xfId="0"/>
    <xf numFmtId="165" fontId="2" fillId="4" borderId="0" pivotButton="0" quotePrefix="0" xfId="0"/>
    <xf numFmtId="165" fontId="11" fillId="4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0" fillId="4" borderId="0" applyAlignment="1" pivotButton="0" quotePrefix="0" xfId="0">
      <alignment horizontal="center"/>
    </xf>
    <xf numFmtId="3" fontId="11" fillId="4" borderId="0" applyAlignment="1" pivotButton="0" quotePrefix="0" xfId="0">
      <alignment horizontal="center"/>
    </xf>
    <xf numFmtId="3" fontId="12" fillId="4" borderId="0" applyAlignment="1" pivotButton="0" quotePrefix="0" xfId="0">
      <alignment horizontal="center"/>
    </xf>
    <xf numFmtId="3" fontId="2" fillId="4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60"/>
  <sheetViews>
    <sheetView workbookViewId="0">
      <selection activeCell="F9" sqref="F9"/>
    </sheetView>
  </sheetViews>
  <sheetFormatPr baseColWidth="8" defaultRowHeight="15"/>
  <cols>
    <col width="10.5703125" bestFit="1" customWidth="1" min="2" max="2"/>
    <col width="36.5703125" bestFit="1" customWidth="1" min="3" max="4"/>
    <col width="15.7109375" bestFit="1" customWidth="1" min="5" max="11"/>
    <col width="16.7109375" bestFit="1" customWidth="1" min="12" max="12"/>
    <col width="15.7109375" bestFit="1" customWidth="1" min="13" max="30"/>
  </cols>
  <sheetData>
    <row r="1" ht="18.75" customHeight="1">
      <c r="A1" s="2" t="inlineStr">
        <is>
          <t>VOLUME DEMAND</t>
        </is>
      </c>
    </row>
    <row r="2">
      <c r="B2" s="3" t="inlineStr">
        <is>
          <t>Year</t>
        </is>
      </c>
      <c r="C2" s="3" t="inlineStr">
        <is>
          <t>Product 1</t>
        </is>
      </c>
      <c r="D2" s="3" t="inlineStr">
        <is>
          <t>Product 2</t>
        </is>
      </c>
      <c r="E2" s="3" t="inlineStr">
        <is>
          <t>Product 3</t>
        </is>
      </c>
      <c r="F2" s="3" t="inlineStr">
        <is>
          <t>Product 4</t>
        </is>
      </c>
      <c r="G2" s="3" t="inlineStr">
        <is>
          <t>Product 5</t>
        </is>
      </c>
      <c r="H2" s="3" t="inlineStr">
        <is>
          <t>Product 6</t>
        </is>
      </c>
      <c r="I2" s="3" t="inlineStr">
        <is>
          <t>Product 7</t>
        </is>
      </c>
      <c r="J2" s="3" t="inlineStr">
        <is>
          <t>Product 8</t>
        </is>
      </c>
      <c r="K2" s="3" t="inlineStr">
        <is>
          <t>Product 9</t>
        </is>
      </c>
      <c r="L2" s="3" t="inlineStr">
        <is>
          <t>Product 10</t>
        </is>
      </c>
    </row>
    <row r="3">
      <c r="B3" s="4" t="n">
        <v>2025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B4" s="4" t="n">
        <v>2026</v>
      </c>
      <c r="C4" s="6" t="n"/>
      <c r="D4" s="6" t="n"/>
      <c r="G4" s="6" t="n"/>
      <c r="H4" s="6" t="n"/>
      <c r="I4" s="6" t="n"/>
      <c r="J4" s="6" t="n"/>
      <c r="K4" s="6" t="n"/>
      <c r="L4" s="6" t="n"/>
    </row>
    <row r="5">
      <c r="B5" s="4" t="n">
        <v>2027</v>
      </c>
      <c r="C5" s="6" t="n"/>
      <c r="D5" s="6" t="n"/>
      <c r="E5" s="6" t="n"/>
      <c r="G5" s="6" t="n"/>
      <c r="H5" s="6" t="n"/>
      <c r="I5" s="6" t="n"/>
      <c r="J5" s="6" t="n"/>
      <c r="K5" s="6" t="n"/>
      <c r="L5" s="6" t="n"/>
    </row>
    <row r="6">
      <c r="B6" s="4" t="n">
        <v>2028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B7" s="4" t="n">
        <v>2029</v>
      </c>
      <c r="C7" s="6" t="n">
        <v>1000</v>
      </c>
      <c r="D7" s="6" t="n">
        <v>1000</v>
      </c>
      <c r="E7" s="6" t="n">
        <v>1000</v>
      </c>
      <c r="F7" s="6" t="n">
        <v>1000</v>
      </c>
      <c r="G7" s="6" t="n"/>
      <c r="H7" s="6" t="n"/>
      <c r="I7" s="6" t="n"/>
      <c r="J7" s="6" t="n"/>
      <c r="K7" s="6" t="n"/>
      <c r="L7" s="6" t="n"/>
    </row>
    <row r="8">
      <c r="B8" s="4" t="n">
        <v>2030</v>
      </c>
      <c r="C8" s="6" t="n">
        <v>35498</v>
      </c>
      <c r="D8" s="6" t="n">
        <v>141992</v>
      </c>
      <c r="E8" s="6" t="n">
        <v>35498</v>
      </c>
      <c r="F8" s="6" t="n">
        <v>35498</v>
      </c>
      <c r="G8" s="6" t="n"/>
      <c r="H8" s="6" t="n"/>
      <c r="I8" s="6" t="n"/>
      <c r="J8" s="6" t="n"/>
      <c r="K8" s="6" t="n"/>
      <c r="L8" s="6" t="n"/>
    </row>
    <row r="9">
      <c r="B9" s="4" t="n">
        <v>2031</v>
      </c>
      <c r="C9" s="6" t="n">
        <v>372560</v>
      </c>
      <c r="D9" s="6" t="n">
        <v>1490238</v>
      </c>
      <c r="E9" s="6" t="n">
        <v>372560</v>
      </c>
      <c r="F9" s="6" t="n">
        <v>372560</v>
      </c>
      <c r="G9" s="6" t="n"/>
      <c r="H9" s="6" t="n"/>
      <c r="I9" s="6" t="n"/>
      <c r="J9" s="6" t="n"/>
      <c r="K9" s="6" t="n"/>
      <c r="L9" s="6" t="n"/>
    </row>
    <row r="10">
      <c r="B10" s="4" t="n">
        <v>2032</v>
      </c>
      <c r="C10" s="6" t="n">
        <v>529763</v>
      </c>
      <c r="D10" s="6" t="n">
        <v>2119050</v>
      </c>
      <c r="E10" s="6" t="n">
        <v>529763</v>
      </c>
      <c r="F10" s="6" t="n">
        <v>529763</v>
      </c>
      <c r="G10" s="6" t="n"/>
      <c r="H10" s="6" t="n"/>
      <c r="I10" s="6" t="n"/>
      <c r="J10" s="6" t="n"/>
      <c r="K10" s="6" t="n"/>
      <c r="L10" s="6" t="n"/>
    </row>
    <row r="11">
      <c r="B11" s="4" t="n">
        <v>2033</v>
      </c>
      <c r="C11" s="6" t="n">
        <v>693177</v>
      </c>
      <c r="D11" s="6" t="n">
        <v>2772708</v>
      </c>
      <c r="E11" s="6" t="n">
        <v>693177</v>
      </c>
      <c r="F11" s="6" t="n">
        <v>693177</v>
      </c>
      <c r="G11" s="6" t="n"/>
      <c r="H11" s="6" t="n"/>
      <c r="I11" s="6" t="n"/>
      <c r="J11" s="6" t="n"/>
      <c r="K11" s="6" t="n"/>
      <c r="L11" s="6" t="n"/>
    </row>
    <row r="12">
      <c r="B12" s="4" t="n">
        <v>2034</v>
      </c>
      <c r="C12" s="6" t="n">
        <v>1001694</v>
      </c>
      <c r="D12" s="6" t="n">
        <v>4006776</v>
      </c>
      <c r="E12" s="6" t="n">
        <v>1001694</v>
      </c>
      <c r="F12" s="6" t="n">
        <v>1001694</v>
      </c>
      <c r="G12" s="6" t="n"/>
      <c r="H12" s="6" t="n"/>
      <c r="I12" s="6" t="n"/>
      <c r="J12" s="6" t="n"/>
      <c r="K12" s="6" t="n"/>
      <c r="L12" s="6" t="n"/>
    </row>
    <row r="13">
      <c r="B13" s="4" t="n">
        <v>2035</v>
      </c>
      <c r="C13" s="6" t="n">
        <v>1338697</v>
      </c>
      <c r="D13" s="6" t="n">
        <v>5354788</v>
      </c>
      <c r="E13" s="6" t="n">
        <v>1338697</v>
      </c>
      <c r="F13" s="6" t="n">
        <v>1338697</v>
      </c>
      <c r="G13" s="6" t="n"/>
      <c r="H13" s="6" t="n"/>
      <c r="I13" s="6" t="n"/>
      <c r="J13" s="6" t="n"/>
      <c r="K13" s="6" t="n"/>
      <c r="L13" s="6" t="n"/>
    </row>
    <row r="14">
      <c r="B14" s="4" t="n">
        <v>2036</v>
      </c>
      <c r="C14" s="6" t="n">
        <v>1286832</v>
      </c>
      <c r="D14" s="6" t="n">
        <v>5417328</v>
      </c>
      <c r="E14" s="6" t="n">
        <v>1286832</v>
      </c>
      <c r="F14" s="6" t="n">
        <v>1286832</v>
      </c>
      <c r="G14" s="6" t="n"/>
      <c r="H14" s="6" t="n"/>
      <c r="I14" s="6" t="n"/>
      <c r="J14" s="6" t="n"/>
      <c r="K14" s="6" t="n"/>
      <c r="L14" s="6" t="n"/>
    </row>
    <row r="15">
      <c r="B15" s="4" t="n">
        <v>2037</v>
      </c>
      <c r="C15" s="6" t="n">
        <v>610237</v>
      </c>
      <c r="D15" s="6" t="n">
        <v>2440948</v>
      </c>
      <c r="E15" s="6" t="n">
        <v>610237</v>
      </c>
      <c r="F15" s="6" t="n">
        <v>610237</v>
      </c>
      <c r="G15" s="6" t="n"/>
      <c r="H15" s="6" t="n"/>
      <c r="I15" s="6" t="n"/>
      <c r="J15" s="6" t="n"/>
      <c r="K15" s="6" t="n"/>
      <c r="L15" s="6" t="n"/>
    </row>
    <row r="16">
      <c r="B16" s="4" t="n">
        <v>2038</v>
      </c>
      <c r="C16" t="n">
        <v>173752</v>
      </c>
      <c r="D16" t="n">
        <v>695008</v>
      </c>
      <c r="E16" t="n">
        <v>173752</v>
      </c>
      <c r="F16" s="6" t="n">
        <v>173752</v>
      </c>
      <c r="G16" s="6" t="n"/>
      <c r="H16" s="6" t="n"/>
      <c r="I16" s="6" t="n"/>
      <c r="J16" s="6" t="n"/>
      <c r="K16" s="6" t="n"/>
      <c r="L16" s="6" t="n"/>
    </row>
    <row r="17">
      <c r="B17" s="4" t="n">
        <v>2039</v>
      </c>
      <c r="G17" s="6" t="n"/>
      <c r="H17" s="6" t="n"/>
      <c r="I17" s="6" t="n"/>
      <c r="J17" s="6" t="n"/>
      <c r="K17" s="6" t="n"/>
      <c r="L17" s="6" t="n"/>
    </row>
    <row r="18">
      <c r="B18" s="4" t="n">
        <v>2040</v>
      </c>
      <c r="G18" s="6" t="n"/>
      <c r="H18" s="6" t="n"/>
      <c r="I18" s="6" t="n"/>
      <c r="J18" s="6" t="n"/>
      <c r="K18" s="6" t="n"/>
      <c r="L18" s="6" t="n"/>
    </row>
    <row r="19">
      <c r="B19" s="4" t="n">
        <v>2041</v>
      </c>
      <c r="G19" s="6" t="n"/>
      <c r="H19" s="6" t="n"/>
      <c r="I19" s="6" t="n"/>
      <c r="J19" s="6" t="n"/>
      <c r="K19" s="6" t="n"/>
      <c r="L19" s="6" t="n"/>
    </row>
    <row r="21" ht="15.75" customHeight="1">
      <c r="A21" s="10" t="inlineStr">
        <is>
          <t>PRODUCTION SETUP</t>
        </is>
      </c>
    </row>
    <row r="22">
      <c r="A22" s="1" t="inlineStr">
        <is>
          <t>Hours/Shift</t>
        </is>
      </c>
      <c r="B22" s="13" t="n">
        <v>7.2</v>
      </c>
    </row>
    <row r="23">
      <c r="A23" s="1" t="inlineStr">
        <is>
          <t>Shifts/Day</t>
        </is>
      </c>
      <c r="B23" s="5" t="n">
        <v>3</v>
      </c>
    </row>
    <row r="24">
      <c r="A24" s="1" t="inlineStr">
        <is>
          <t>Days/Week</t>
        </is>
      </c>
      <c r="B24" s="5" t="n">
        <v>6</v>
      </c>
    </row>
    <row r="25">
      <c r="A25" s="1" t="inlineStr">
        <is>
          <t>Weeks/Year</t>
        </is>
      </c>
      <c r="B25" s="5" t="n">
        <v>48</v>
      </c>
    </row>
    <row r="27">
      <c r="A27" s="1" t="inlineStr">
        <is>
          <t>Available seconds/year</t>
        </is>
      </c>
      <c r="B27" s="11">
        <f>B22*B23*B24*B25*3600</f>
        <v/>
      </c>
    </row>
    <row r="29" ht="15.75" customHeight="1">
      <c r="A29" s="10" t="inlineStr">
        <is>
          <t>CYCLE TIME (seconds per unit)</t>
        </is>
      </c>
    </row>
    <row r="30">
      <c r="B30" s="1" t="inlineStr">
        <is>
          <t>Line \ Product</t>
        </is>
      </c>
      <c r="C30" s="1" t="inlineStr">
        <is>
          <t>Product 1</t>
        </is>
      </c>
      <c r="D30" s="1" t="inlineStr">
        <is>
          <t>Product 2</t>
        </is>
      </c>
      <c r="E30" s="1" t="inlineStr">
        <is>
          <t>Product 3</t>
        </is>
      </c>
      <c r="F30" s="1" t="inlineStr">
        <is>
          <t>Product 4</t>
        </is>
      </c>
      <c r="G30" s="1" t="inlineStr">
        <is>
          <t>Product 5</t>
        </is>
      </c>
      <c r="H30" s="1" t="inlineStr">
        <is>
          <t>Product 6</t>
        </is>
      </c>
      <c r="I30" s="1" t="inlineStr">
        <is>
          <t>Product 7</t>
        </is>
      </c>
      <c r="J30" s="1" t="inlineStr">
        <is>
          <t>Product 8</t>
        </is>
      </c>
      <c r="K30" s="1" t="inlineStr">
        <is>
          <t>Product 9</t>
        </is>
      </c>
      <c r="L30" s="1" t="inlineStr">
        <is>
          <t>Product 10</t>
        </is>
      </c>
    </row>
    <row r="31">
      <c r="B31" t="inlineStr">
        <is>
          <t>Line 1</t>
        </is>
      </c>
      <c r="C31" s="5" t="n">
        <v>12</v>
      </c>
      <c r="D31" s="5" t="n">
        <v>12</v>
      </c>
      <c r="E31" s="5" t="n">
        <v>12</v>
      </c>
      <c r="F31" s="5" t="n">
        <v>12</v>
      </c>
      <c r="G31" s="5" t="n">
        <v>12</v>
      </c>
      <c r="H31" s="5" t="n">
        <v>12</v>
      </c>
      <c r="I31" s="5" t="n">
        <v>12</v>
      </c>
      <c r="J31" s="5" t="n">
        <v>12</v>
      </c>
      <c r="K31" s="5" t="n">
        <v>12</v>
      </c>
      <c r="L31" s="5" t="n">
        <v>12</v>
      </c>
    </row>
    <row r="32">
      <c r="B32" t="inlineStr">
        <is>
          <t>Line 2</t>
        </is>
      </c>
      <c r="C32" s="5" t="n">
        <v>12</v>
      </c>
      <c r="D32" s="5" t="n">
        <v>12</v>
      </c>
      <c r="E32" s="5" t="n">
        <v>12</v>
      </c>
      <c r="F32" s="5" t="n">
        <v>12</v>
      </c>
      <c r="G32" s="5" t="n">
        <v>12</v>
      </c>
      <c r="H32" s="5" t="n">
        <v>12</v>
      </c>
      <c r="I32" s="5" t="n">
        <v>12</v>
      </c>
      <c r="J32" s="5" t="n">
        <v>12</v>
      </c>
      <c r="K32" s="5" t="n">
        <v>12</v>
      </c>
      <c r="L32" s="5" t="n">
        <v>12</v>
      </c>
    </row>
    <row r="33">
      <c r="B33" t="inlineStr">
        <is>
          <t>Line 3</t>
        </is>
      </c>
      <c r="C33" s="5" t="n">
        <v>12</v>
      </c>
      <c r="D33" s="5" t="n">
        <v>12</v>
      </c>
      <c r="E33" s="5" t="n">
        <v>12</v>
      </c>
      <c r="F33" s="5" t="n">
        <v>12</v>
      </c>
      <c r="G33" s="5" t="n">
        <v>12</v>
      </c>
      <c r="H33" s="5" t="n">
        <v>12</v>
      </c>
      <c r="I33" s="5" t="n">
        <v>12</v>
      </c>
      <c r="J33" s="5" t="n">
        <v>12</v>
      </c>
      <c r="K33" s="5" t="n">
        <v>12</v>
      </c>
      <c r="L33" s="5" t="n">
        <v>12</v>
      </c>
    </row>
    <row r="34">
      <c r="B34" t="inlineStr">
        <is>
          <t>Line 4</t>
        </is>
      </c>
      <c r="C34" s="5" t="n">
        <v>12</v>
      </c>
      <c r="D34" s="5" t="n">
        <v>12</v>
      </c>
      <c r="E34" s="5" t="n">
        <v>12</v>
      </c>
      <c r="F34" s="5" t="n">
        <v>12</v>
      </c>
      <c r="G34" s="5" t="n">
        <v>12</v>
      </c>
      <c r="H34" s="5" t="n">
        <v>12</v>
      </c>
      <c r="I34" s="5" t="n">
        <v>12</v>
      </c>
      <c r="J34" s="5" t="n">
        <v>12</v>
      </c>
      <c r="K34" s="5" t="n">
        <v>12</v>
      </c>
      <c r="L34" s="5" t="n">
        <v>12</v>
      </c>
    </row>
    <row r="35">
      <c r="B35" t="inlineStr">
        <is>
          <t>Line 5</t>
        </is>
      </c>
      <c r="C35" s="5" t="n">
        <v>12</v>
      </c>
      <c r="D35" s="5" t="n">
        <v>12</v>
      </c>
      <c r="E35" s="5" t="n">
        <v>12</v>
      </c>
      <c r="F35" s="5" t="n">
        <v>12</v>
      </c>
      <c r="G35" s="5" t="n">
        <v>12</v>
      </c>
      <c r="H35" s="5" t="n">
        <v>12</v>
      </c>
      <c r="I35" s="5" t="n">
        <v>12</v>
      </c>
      <c r="J35" s="5" t="n">
        <v>12</v>
      </c>
      <c r="K35" s="5" t="n">
        <v>12</v>
      </c>
      <c r="L35" s="5" t="n">
        <v>12</v>
      </c>
    </row>
    <row r="36">
      <c r="B36" t="inlineStr">
        <is>
          <t>Line 6</t>
        </is>
      </c>
      <c r="C36" s="5" t="n">
        <v>12</v>
      </c>
      <c r="D36" s="5" t="n">
        <v>12</v>
      </c>
      <c r="E36" s="5" t="n">
        <v>12</v>
      </c>
      <c r="F36" s="5" t="n">
        <v>12</v>
      </c>
      <c r="G36" s="5" t="n">
        <v>12</v>
      </c>
      <c r="H36" s="5" t="n">
        <v>12</v>
      </c>
      <c r="I36" s="5" t="n">
        <v>12</v>
      </c>
      <c r="J36" s="5" t="n">
        <v>12</v>
      </c>
      <c r="K36" s="5" t="n">
        <v>12</v>
      </c>
      <c r="L36" s="5" t="n">
        <v>12</v>
      </c>
    </row>
    <row r="37">
      <c r="B37" t="inlineStr">
        <is>
          <t>Line 7</t>
        </is>
      </c>
      <c r="C37" s="5" t="n">
        <v>12</v>
      </c>
      <c r="D37" s="5" t="n">
        <v>12</v>
      </c>
      <c r="E37" s="5" t="n">
        <v>12</v>
      </c>
      <c r="F37" s="5" t="n">
        <v>12</v>
      </c>
      <c r="G37" s="5" t="n">
        <v>12</v>
      </c>
      <c r="H37" s="5" t="n">
        <v>12</v>
      </c>
      <c r="I37" s="5" t="n">
        <v>12</v>
      </c>
      <c r="J37" s="5" t="n">
        <v>12</v>
      </c>
      <c r="K37" s="5" t="n">
        <v>12</v>
      </c>
      <c r="L37" s="5" t="n">
        <v>12</v>
      </c>
    </row>
    <row r="38">
      <c r="B38" t="inlineStr">
        <is>
          <t>Line 8</t>
        </is>
      </c>
      <c r="C38" s="5" t="n">
        <v>12</v>
      </c>
      <c r="D38" s="5" t="n">
        <v>12</v>
      </c>
      <c r="E38" s="5" t="n">
        <v>12</v>
      </c>
      <c r="F38" s="5" t="n">
        <v>12</v>
      </c>
      <c r="G38" s="5" t="n">
        <v>12</v>
      </c>
      <c r="H38" s="5" t="n">
        <v>12</v>
      </c>
      <c r="I38" s="5" t="n">
        <v>12</v>
      </c>
      <c r="J38" s="5" t="n">
        <v>12</v>
      </c>
      <c r="K38" s="5" t="n">
        <v>12</v>
      </c>
      <c r="L38" s="5" t="n">
        <v>12</v>
      </c>
    </row>
    <row r="39">
      <c r="B39" t="inlineStr">
        <is>
          <t>Line 9</t>
        </is>
      </c>
      <c r="C39" s="5" t="n">
        <v>12</v>
      </c>
      <c r="D39" s="5" t="n">
        <v>12</v>
      </c>
      <c r="E39" s="5" t="n">
        <v>12</v>
      </c>
      <c r="F39" s="5" t="n">
        <v>12</v>
      </c>
      <c r="G39" s="5" t="n">
        <v>12</v>
      </c>
      <c r="H39" s="5" t="n">
        <v>12</v>
      </c>
      <c r="I39" s="5" t="n">
        <v>12</v>
      </c>
      <c r="J39" s="5" t="n">
        <v>12</v>
      </c>
      <c r="K39" s="5" t="n">
        <v>12</v>
      </c>
      <c r="L39" s="5" t="n">
        <v>12</v>
      </c>
    </row>
    <row r="40">
      <c r="B40" t="inlineStr">
        <is>
          <t>Line 10</t>
        </is>
      </c>
      <c r="C40" s="5" t="n">
        <v>12</v>
      </c>
      <c r="D40" s="5" t="n">
        <v>12</v>
      </c>
      <c r="E40" s="5" t="n">
        <v>12</v>
      </c>
      <c r="F40" s="5" t="n">
        <v>12</v>
      </c>
      <c r="G40" s="5" t="n">
        <v>12</v>
      </c>
      <c r="H40" s="5" t="n">
        <v>12</v>
      </c>
      <c r="I40" s="5" t="n">
        <v>12</v>
      </c>
      <c r="J40" s="5" t="n">
        <v>12</v>
      </c>
      <c r="K40" s="5" t="n">
        <v>12</v>
      </c>
      <c r="L40" s="5" t="n">
        <v>12</v>
      </c>
    </row>
    <row r="41">
      <c r="B41" t="inlineStr">
        <is>
          <t>Line 11</t>
        </is>
      </c>
      <c r="C41" s="5" t="n">
        <v>12</v>
      </c>
      <c r="D41" s="5" t="n">
        <v>12</v>
      </c>
      <c r="E41" s="5" t="n">
        <v>12</v>
      </c>
      <c r="F41" s="5" t="n">
        <v>12</v>
      </c>
      <c r="G41" s="5" t="n">
        <v>12</v>
      </c>
      <c r="H41" s="5" t="n">
        <v>12</v>
      </c>
      <c r="I41" s="5" t="n">
        <v>12</v>
      </c>
      <c r="J41" s="5" t="n">
        <v>12</v>
      </c>
      <c r="K41" s="5" t="n">
        <v>12</v>
      </c>
      <c r="L41" s="5" t="n">
        <v>12</v>
      </c>
    </row>
    <row r="42">
      <c r="B42" t="inlineStr">
        <is>
          <t>Line 12</t>
        </is>
      </c>
      <c r="C42" s="5" t="n">
        <v>12</v>
      </c>
      <c r="D42" s="5" t="n">
        <v>12</v>
      </c>
      <c r="E42" s="5" t="n">
        <v>12</v>
      </c>
      <c r="F42" s="5" t="n">
        <v>12</v>
      </c>
      <c r="G42" s="5" t="n">
        <v>12</v>
      </c>
      <c r="H42" s="5" t="n">
        <v>12</v>
      </c>
      <c r="I42" s="5" t="n">
        <v>12</v>
      </c>
      <c r="J42" s="5" t="n">
        <v>12</v>
      </c>
      <c r="K42" s="5" t="n">
        <v>12</v>
      </c>
      <c r="L42" s="5" t="n">
        <v>12</v>
      </c>
    </row>
    <row r="43">
      <c r="B43" t="inlineStr">
        <is>
          <t>Line 13</t>
        </is>
      </c>
      <c r="C43" s="5" t="n">
        <v>12</v>
      </c>
      <c r="D43" s="5" t="n">
        <v>12</v>
      </c>
      <c r="E43" s="5" t="n">
        <v>12</v>
      </c>
      <c r="F43" s="5" t="n">
        <v>12</v>
      </c>
      <c r="G43" s="5" t="n">
        <v>12</v>
      </c>
      <c r="H43" s="5" t="n">
        <v>12</v>
      </c>
      <c r="I43" s="5" t="n">
        <v>12</v>
      </c>
      <c r="J43" s="5" t="n">
        <v>12</v>
      </c>
      <c r="K43" s="5" t="n">
        <v>12</v>
      </c>
      <c r="L43" s="5" t="n">
        <v>12</v>
      </c>
    </row>
    <row r="44">
      <c r="B44" t="inlineStr">
        <is>
          <t>Line 14</t>
        </is>
      </c>
      <c r="C44" s="5" t="n">
        <v>12</v>
      </c>
      <c r="D44" s="5" t="n">
        <v>12</v>
      </c>
      <c r="E44" s="5" t="n">
        <v>12</v>
      </c>
      <c r="F44" s="5" t="n">
        <v>12</v>
      </c>
      <c r="G44" s="5" t="n">
        <v>12</v>
      </c>
      <c r="H44" s="5" t="n">
        <v>12</v>
      </c>
      <c r="I44" s="5" t="n">
        <v>12</v>
      </c>
      <c r="J44" s="5" t="n">
        <v>12</v>
      </c>
      <c r="K44" s="5" t="n">
        <v>12</v>
      </c>
      <c r="L44" s="5" t="n">
        <v>12</v>
      </c>
    </row>
    <row r="45">
      <c r="B45" t="inlineStr">
        <is>
          <t>Line 15</t>
        </is>
      </c>
      <c r="C45" s="5" t="n">
        <v>12</v>
      </c>
      <c r="D45" s="5" t="n">
        <v>12</v>
      </c>
      <c r="E45" s="5" t="n">
        <v>12</v>
      </c>
      <c r="F45" s="5" t="n">
        <v>12</v>
      </c>
      <c r="G45" s="5" t="n">
        <v>12</v>
      </c>
      <c r="H45" s="5" t="n">
        <v>12</v>
      </c>
      <c r="I45" s="5" t="n">
        <v>12</v>
      </c>
      <c r="J45" s="5" t="n">
        <v>12</v>
      </c>
      <c r="K45" s="5" t="n">
        <v>12</v>
      </c>
      <c r="L45" s="5" t="n">
        <v>12</v>
      </c>
    </row>
    <row r="47" ht="15.75" customHeight="1">
      <c r="A47" s="10" t="inlineStr">
        <is>
          <t>OEE (Overall Equipment Effectiveness)</t>
        </is>
      </c>
    </row>
    <row r="48">
      <c r="B48" s="1" t="inlineStr">
        <is>
          <t>Line \ Product</t>
        </is>
      </c>
      <c r="C48" s="1" t="inlineStr">
        <is>
          <t>Product 1</t>
        </is>
      </c>
      <c r="D48" s="1" t="inlineStr">
        <is>
          <t>Product 2</t>
        </is>
      </c>
      <c r="E48" s="1" t="inlineStr">
        <is>
          <t>Product 3</t>
        </is>
      </c>
      <c r="F48" s="1" t="inlineStr">
        <is>
          <t>Product 4</t>
        </is>
      </c>
      <c r="G48" s="1" t="inlineStr">
        <is>
          <t>Product 5</t>
        </is>
      </c>
      <c r="H48" s="1" t="inlineStr">
        <is>
          <t>Product 6</t>
        </is>
      </c>
      <c r="I48" s="1" t="inlineStr">
        <is>
          <t>Product 7</t>
        </is>
      </c>
      <c r="J48" s="1" t="inlineStr">
        <is>
          <t>Product 8</t>
        </is>
      </c>
      <c r="K48" s="1" t="inlineStr">
        <is>
          <t>Product 9</t>
        </is>
      </c>
      <c r="L48" s="1" t="inlineStr">
        <is>
          <t>Product 10</t>
        </is>
      </c>
    </row>
    <row r="49">
      <c r="B49" t="inlineStr">
        <is>
          <t>Line 1</t>
        </is>
      </c>
      <c r="C49" s="14" t="n">
        <v>0.85</v>
      </c>
      <c r="D49" s="14" t="n">
        <v>0.85</v>
      </c>
      <c r="E49" s="14" t="n">
        <v>0.85</v>
      </c>
      <c r="F49" s="14" t="n">
        <v>0.85</v>
      </c>
      <c r="G49" s="14" t="n">
        <v>0.85</v>
      </c>
      <c r="H49" s="14" t="n">
        <v>0.85</v>
      </c>
      <c r="I49" s="14" t="n">
        <v>0.85</v>
      </c>
      <c r="J49" s="14" t="n">
        <v>0.85</v>
      </c>
      <c r="K49" s="14" t="n">
        <v>0.85</v>
      </c>
      <c r="L49" s="14" t="n">
        <v>0.85</v>
      </c>
    </row>
    <row r="50">
      <c r="B50" t="inlineStr">
        <is>
          <t>Line 2</t>
        </is>
      </c>
      <c r="C50" s="14" t="n">
        <v>0.85</v>
      </c>
      <c r="D50" s="14" t="n">
        <v>0.85</v>
      </c>
      <c r="E50" s="14" t="n">
        <v>0.85</v>
      </c>
      <c r="F50" s="14" t="n">
        <v>0.85</v>
      </c>
      <c r="G50" s="14" t="n">
        <v>0.85</v>
      </c>
      <c r="H50" s="14" t="n">
        <v>0.85</v>
      </c>
      <c r="I50" s="14" t="n">
        <v>0.85</v>
      </c>
      <c r="J50" s="14" t="n">
        <v>0.85</v>
      </c>
      <c r="K50" s="14" t="n">
        <v>0.85</v>
      </c>
      <c r="L50" s="14" t="n">
        <v>0.85</v>
      </c>
    </row>
    <row r="51">
      <c r="B51" t="inlineStr">
        <is>
          <t>Line 3</t>
        </is>
      </c>
      <c r="C51" s="14" t="n">
        <v>0.85</v>
      </c>
      <c r="D51" s="14" t="n">
        <v>0.85</v>
      </c>
      <c r="E51" s="14" t="n">
        <v>0.85</v>
      </c>
      <c r="F51" s="14" t="n">
        <v>0.85</v>
      </c>
      <c r="G51" s="14" t="n">
        <v>0.85</v>
      </c>
      <c r="H51" s="14" t="n">
        <v>0.85</v>
      </c>
      <c r="I51" s="14" t="n">
        <v>0.85</v>
      </c>
      <c r="J51" s="14" t="n">
        <v>0.85</v>
      </c>
      <c r="K51" s="14" t="n">
        <v>0.85</v>
      </c>
      <c r="L51" s="14" t="n">
        <v>0.85</v>
      </c>
    </row>
    <row r="52">
      <c r="B52" t="inlineStr">
        <is>
          <t>Line 4</t>
        </is>
      </c>
      <c r="C52" s="14" t="n">
        <v>0.85</v>
      </c>
      <c r="D52" s="14" t="n">
        <v>0.85</v>
      </c>
      <c r="E52" s="14" t="n">
        <v>0.85</v>
      </c>
      <c r="F52" s="14" t="n">
        <v>0.85</v>
      </c>
      <c r="G52" s="14" t="n">
        <v>0.85</v>
      </c>
      <c r="H52" s="14" t="n">
        <v>0.85</v>
      </c>
      <c r="I52" s="14" t="n">
        <v>0.85</v>
      </c>
      <c r="J52" s="14" t="n">
        <v>0.85</v>
      </c>
      <c r="K52" s="14" t="n">
        <v>0.85</v>
      </c>
      <c r="L52" s="14" t="n">
        <v>0.85</v>
      </c>
    </row>
    <row r="53">
      <c r="B53" t="inlineStr">
        <is>
          <t>Line 5</t>
        </is>
      </c>
      <c r="C53" s="14" t="n">
        <v>0.85</v>
      </c>
      <c r="D53" s="14" t="n">
        <v>0.85</v>
      </c>
      <c r="E53" s="14" t="n">
        <v>0.85</v>
      </c>
      <c r="F53" s="14" t="n">
        <v>0.85</v>
      </c>
      <c r="G53" s="14" t="n">
        <v>0.85</v>
      </c>
      <c r="H53" s="14" t="n">
        <v>0.85</v>
      </c>
      <c r="I53" s="14" t="n">
        <v>0.85</v>
      </c>
      <c r="J53" s="14" t="n">
        <v>0.85</v>
      </c>
      <c r="K53" s="14" t="n">
        <v>0.85</v>
      </c>
      <c r="L53" s="14" t="n">
        <v>0.85</v>
      </c>
    </row>
    <row r="54">
      <c r="B54" t="inlineStr">
        <is>
          <t>Line 6</t>
        </is>
      </c>
      <c r="C54" s="14" t="n">
        <v>0.85</v>
      </c>
      <c r="D54" s="14" t="n">
        <v>0.85</v>
      </c>
      <c r="E54" s="14" t="n">
        <v>0.85</v>
      </c>
      <c r="F54" s="14" t="n">
        <v>0.85</v>
      </c>
      <c r="G54" s="14" t="n">
        <v>0.85</v>
      </c>
      <c r="H54" s="14" t="n">
        <v>0.85</v>
      </c>
      <c r="I54" s="14" t="n">
        <v>0.85</v>
      </c>
      <c r="J54" s="14" t="n">
        <v>0.85</v>
      </c>
      <c r="K54" s="14" t="n">
        <v>0.85</v>
      </c>
      <c r="L54" s="14" t="n">
        <v>0.85</v>
      </c>
    </row>
    <row r="55">
      <c r="B55" t="inlineStr">
        <is>
          <t>Line 7</t>
        </is>
      </c>
      <c r="C55" s="14" t="n">
        <v>0.85</v>
      </c>
      <c r="D55" s="14" t="n">
        <v>0.85</v>
      </c>
      <c r="E55" s="14" t="n">
        <v>0.85</v>
      </c>
      <c r="F55" s="14" t="n">
        <v>0.85</v>
      </c>
      <c r="G55" s="14" t="n">
        <v>0.85</v>
      </c>
      <c r="H55" s="14" t="n">
        <v>0.85</v>
      </c>
      <c r="I55" s="14" t="n">
        <v>0.85</v>
      </c>
      <c r="J55" s="14" t="n">
        <v>0.85</v>
      </c>
      <c r="K55" s="14" t="n">
        <v>0.85</v>
      </c>
      <c r="L55" s="14" t="n">
        <v>0.85</v>
      </c>
    </row>
    <row r="56">
      <c r="B56" t="inlineStr">
        <is>
          <t>Line 8</t>
        </is>
      </c>
      <c r="C56" s="14" t="n">
        <v>0.85</v>
      </c>
      <c r="D56" s="14" t="n">
        <v>0.85</v>
      </c>
      <c r="E56" s="14" t="n">
        <v>0.85</v>
      </c>
      <c r="F56" s="14" t="n">
        <v>0.85</v>
      </c>
      <c r="G56" s="14" t="n">
        <v>0.85</v>
      </c>
      <c r="H56" s="14" t="n">
        <v>0.85</v>
      </c>
      <c r="I56" s="14" t="n">
        <v>0.85</v>
      </c>
      <c r="J56" s="14" t="n">
        <v>0.85</v>
      </c>
      <c r="K56" s="14" t="n">
        <v>0.85</v>
      </c>
      <c r="L56" s="14" t="n">
        <v>0.85</v>
      </c>
    </row>
    <row r="57">
      <c r="B57" t="inlineStr">
        <is>
          <t>Line 9</t>
        </is>
      </c>
      <c r="C57" s="14" t="n">
        <v>0.85</v>
      </c>
      <c r="D57" s="14" t="n">
        <v>0.85</v>
      </c>
      <c r="E57" s="14" t="n">
        <v>0.85</v>
      </c>
      <c r="F57" s="14" t="n">
        <v>0.85</v>
      </c>
      <c r="G57" s="14" t="n">
        <v>0.85</v>
      </c>
      <c r="H57" s="14" t="n">
        <v>0.85</v>
      </c>
      <c r="I57" s="14" t="n">
        <v>0.85</v>
      </c>
      <c r="J57" s="14" t="n">
        <v>0.85</v>
      </c>
      <c r="K57" s="14" t="n">
        <v>0.85</v>
      </c>
      <c r="L57" s="14" t="n">
        <v>0.85</v>
      </c>
    </row>
    <row r="58">
      <c r="B58" t="inlineStr">
        <is>
          <t>Line 10</t>
        </is>
      </c>
      <c r="C58" s="14" t="n">
        <v>0.85</v>
      </c>
      <c r="D58" s="14" t="n">
        <v>0.85</v>
      </c>
      <c r="E58" s="14" t="n">
        <v>0.85</v>
      </c>
      <c r="F58" s="14" t="n">
        <v>0.85</v>
      </c>
      <c r="G58" s="14" t="n">
        <v>0.85</v>
      </c>
      <c r="H58" s="14" t="n">
        <v>0.85</v>
      </c>
      <c r="I58" s="14" t="n">
        <v>0.85</v>
      </c>
      <c r="J58" s="14" t="n">
        <v>0.85</v>
      </c>
      <c r="K58" s="14" t="n">
        <v>0.85</v>
      </c>
      <c r="L58" s="14" t="n">
        <v>0.85</v>
      </c>
    </row>
    <row r="59">
      <c r="B59" t="inlineStr">
        <is>
          <t>Line 11</t>
        </is>
      </c>
      <c r="C59" s="14" t="n">
        <v>0.85</v>
      </c>
      <c r="D59" s="14" t="n">
        <v>0.85</v>
      </c>
      <c r="E59" s="14" t="n">
        <v>0.85</v>
      </c>
      <c r="F59" s="14" t="n">
        <v>0.85</v>
      </c>
      <c r="G59" s="14" t="n">
        <v>0.85</v>
      </c>
      <c r="H59" s="14" t="n">
        <v>0.85</v>
      </c>
      <c r="I59" s="14" t="n">
        <v>0.85</v>
      </c>
      <c r="J59" s="14" t="n">
        <v>0.85</v>
      </c>
      <c r="K59" s="14" t="n">
        <v>0.85</v>
      </c>
      <c r="L59" s="14" t="n">
        <v>0.85</v>
      </c>
    </row>
    <row r="60">
      <c r="B60" t="inlineStr">
        <is>
          <t>Line 12</t>
        </is>
      </c>
      <c r="C60" s="14" t="n">
        <v>0.85</v>
      </c>
      <c r="D60" s="14" t="n">
        <v>0.85</v>
      </c>
      <c r="E60" s="14" t="n">
        <v>0.85</v>
      </c>
      <c r="F60" s="14" t="n">
        <v>0.85</v>
      </c>
      <c r="G60" s="14" t="n">
        <v>0.85</v>
      </c>
      <c r="H60" s="14" t="n">
        <v>0.85</v>
      </c>
      <c r="I60" s="14" t="n">
        <v>0.85</v>
      </c>
      <c r="J60" s="14" t="n">
        <v>0.85</v>
      </c>
      <c r="K60" s="14" t="n">
        <v>0.85</v>
      </c>
      <c r="L60" s="14" t="n">
        <v>0.85</v>
      </c>
    </row>
    <row r="61">
      <c r="B61" t="inlineStr">
        <is>
          <t>Line 13</t>
        </is>
      </c>
      <c r="C61" s="14" t="n">
        <v>0.85</v>
      </c>
      <c r="D61" s="14" t="n">
        <v>0.85</v>
      </c>
      <c r="E61" s="14" t="n">
        <v>0.85</v>
      </c>
      <c r="F61" s="14" t="n">
        <v>0.85</v>
      </c>
      <c r="G61" s="14" t="n">
        <v>0.85</v>
      </c>
      <c r="H61" s="14" t="n">
        <v>0.85</v>
      </c>
      <c r="I61" s="14" t="n">
        <v>0.85</v>
      </c>
      <c r="J61" s="14" t="n">
        <v>0.85</v>
      </c>
      <c r="K61" s="14" t="n">
        <v>0.85</v>
      </c>
      <c r="L61" s="14" t="n">
        <v>0.85</v>
      </c>
    </row>
    <row r="62">
      <c r="B62" t="inlineStr">
        <is>
          <t>Line 14</t>
        </is>
      </c>
      <c r="C62" s="14" t="n">
        <v>0.85</v>
      </c>
      <c r="D62" s="14" t="n">
        <v>0.85</v>
      </c>
      <c r="E62" s="14" t="n">
        <v>0.85</v>
      </c>
      <c r="F62" s="14" t="n">
        <v>0.85</v>
      </c>
      <c r="G62" s="14" t="n">
        <v>0.85</v>
      </c>
      <c r="H62" s="14" t="n">
        <v>0.85</v>
      </c>
      <c r="I62" s="14" t="n">
        <v>0.85</v>
      </c>
      <c r="J62" s="14" t="n">
        <v>0.85</v>
      </c>
      <c r="K62" s="14" t="n">
        <v>0.85</v>
      </c>
      <c r="L62" s="14" t="n">
        <v>0.85</v>
      </c>
    </row>
    <row r="63">
      <c r="B63" t="inlineStr">
        <is>
          <t>Line 15</t>
        </is>
      </c>
      <c r="C63" s="14" t="n">
        <v>0.85</v>
      </c>
      <c r="D63" s="14" t="n">
        <v>0.85</v>
      </c>
      <c r="E63" s="14" t="n">
        <v>0.85</v>
      </c>
      <c r="F63" s="14" t="n">
        <v>0.85</v>
      </c>
      <c r="G63" s="14" t="n">
        <v>0.85</v>
      </c>
      <c r="H63" s="14" t="n">
        <v>0.85</v>
      </c>
      <c r="I63" s="14" t="n">
        <v>0.85</v>
      </c>
      <c r="J63" s="14" t="n">
        <v>0.85</v>
      </c>
      <c r="K63" s="14" t="n">
        <v>0.85</v>
      </c>
      <c r="L63" s="14" t="n">
        <v>0.85</v>
      </c>
    </row>
    <row r="65" ht="15.75" customHeight="1">
      <c r="A65" s="10" t="inlineStr">
        <is>
          <t>TOOLING CONFIGURATION</t>
        </is>
      </c>
    </row>
    <row r="67">
      <c r="A67" s="1" t="inlineStr">
        <is>
          <t>Mechanical Tooling Compatibility</t>
        </is>
      </c>
    </row>
    <row r="68">
      <c r="A68" s="12" t="inlineStr">
        <is>
          <t>(1 = shared tooling, 0 = different tooling)</t>
        </is>
      </c>
    </row>
    <row r="69">
      <c r="B69" s="1" t="inlineStr">
        <is>
          <t>Prod \ Prod</t>
        </is>
      </c>
      <c r="C69" s="1" t="inlineStr">
        <is>
          <t>Prod 1</t>
        </is>
      </c>
      <c r="D69" s="1" t="inlineStr">
        <is>
          <t>Prod 2</t>
        </is>
      </c>
      <c r="E69" s="1" t="inlineStr">
        <is>
          <t>Prod 3</t>
        </is>
      </c>
      <c r="F69" s="1" t="inlineStr">
        <is>
          <t>Prod 4</t>
        </is>
      </c>
      <c r="G69" s="1" t="inlineStr">
        <is>
          <t>Prod 5</t>
        </is>
      </c>
      <c r="H69" s="1" t="inlineStr">
        <is>
          <t>Prod 6</t>
        </is>
      </c>
      <c r="I69" s="1" t="inlineStr">
        <is>
          <t>Prod 7</t>
        </is>
      </c>
      <c r="J69" s="1" t="inlineStr">
        <is>
          <t>Prod 8</t>
        </is>
      </c>
      <c r="K69" s="1" t="inlineStr">
        <is>
          <t>Prod 9</t>
        </is>
      </c>
      <c r="L69" s="1" t="inlineStr">
        <is>
          <t>Prod 10</t>
        </is>
      </c>
    </row>
    <row r="70">
      <c r="B70" t="inlineStr">
        <is>
          <t>Prod 1</t>
        </is>
      </c>
      <c r="C70" s="5" t="n">
        <v>1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</row>
    <row r="71">
      <c r="B71" t="inlineStr">
        <is>
          <t>Prod 2</t>
        </is>
      </c>
      <c r="C71" s="5" t="n">
        <v>0</v>
      </c>
      <c r="D71" s="5" t="n">
        <v>1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</row>
    <row r="72">
      <c r="B72" t="inlineStr">
        <is>
          <t>Prod 3</t>
        </is>
      </c>
      <c r="C72" s="5" t="n">
        <v>0</v>
      </c>
      <c r="D72" s="5" t="n">
        <v>0</v>
      </c>
      <c r="E72" s="5" t="n">
        <v>1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</row>
    <row r="73">
      <c r="B73" t="inlineStr">
        <is>
          <t>Prod 4</t>
        </is>
      </c>
      <c r="C73" s="5" t="n">
        <v>0</v>
      </c>
      <c r="D73" s="5" t="n">
        <v>0</v>
      </c>
      <c r="E73" s="5" t="n">
        <v>0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</row>
    <row r="74">
      <c r="B74" t="inlineStr">
        <is>
          <t>Prod 5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</row>
    <row r="75">
      <c r="B75" t="inlineStr">
        <is>
          <t>Prod 6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</row>
    <row r="76">
      <c r="B76" t="inlineStr">
        <is>
          <t>Prod 7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</row>
    <row r="77">
      <c r="B77" t="inlineStr">
        <is>
          <t>Prod 8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0</v>
      </c>
    </row>
    <row r="78">
      <c r="B78" t="inlineStr">
        <is>
          <t>Prod 9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</row>
    <row r="79">
      <c r="B79" t="inlineStr">
        <is>
          <t>Prod 10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</row>
    <row r="81">
      <c r="A81" s="1" t="inlineStr">
        <is>
          <t>Optical Tooling Compatibility</t>
        </is>
      </c>
    </row>
    <row r="82">
      <c r="A82" s="12" t="inlineStr">
        <is>
          <t>(1 = shared tooling, 0 = different tooling)</t>
        </is>
      </c>
    </row>
    <row r="83">
      <c r="B83" s="1" t="inlineStr">
        <is>
          <t>Prod \ Prod</t>
        </is>
      </c>
      <c r="C83" s="1" t="inlineStr">
        <is>
          <t>Prod 1</t>
        </is>
      </c>
      <c r="D83" s="1" t="inlineStr">
        <is>
          <t>Prod 2</t>
        </is>
      </c>
      <c r="E83" s="1" t="inlineStr">
        <is>
          <t>Prod 3</t>
        </is>
      </c>
      <c r="F83" s="1" t="inlineStr">
        <is>
          <t>Prod 4</t>
        </is>
      </c>
      <c r="G83" s="1" t="inlineStr">
        <is>
          <t>Prod 5</t>
        </is>
      </c>
      <c r="H83" s="1" t="inlineStr">
        <is>
          <t>Prod 6</t>
        </is>
      </c>
      <c r="I83" s="1" t="inlineStr">
        <is>
          <t>Prod 7</t>
        </is>
      </c>
      <c r="J83" s="1" t="inlineStr">
        <is>
          <t>Prod 8</t>
        </is>
      </c>
      <c r="K83" s="1" t="inlineStr">
        <is>
          <t>Prod 9</t>
        </is>
      </c>
      <c r="L83" s="1" t="inlineStr">
        <is>
          <t>Prod 10</t>
        </is>
      </c>
    </row>
    <row r="84">
      <c r="B84" t="inlineStr">
        <is>
          <t>Prod 1</t>
        </is>
      </c>
      <c r="C84" s="5" t="n">
        <v>1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</row>
    <row r="85">
      <c r="B85" t="inlineStr">
        <is>
          <t>Prod 2</t>
        </is>
      </c>
      <c r="C85" s="5" t="n">
        <v>0</v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</row>
    <row r="86">
      <c r="B86" t="inlineStr">
        <is>
          <t>Prod 3</t>
        </is>
      </c>
      <c r="C86" s="5" t="n">
        <v>0</v>
      </c>
      <c r="D86" s="5" t="n">
        <v>0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</row>
    <row r="87">
      <c r="B87" t="inlineStr">
        <is>
          <t>Prod 4</t>
        </is>
      </c>
      <c r="C87" s="5" t="n">
        <v>0</v>
      </c>
      <c r="D87" s="5" t="n">
        <v>0</v>
      </c>
      <c r="E87" s="5" t="n">
        <v>0</v>
      </c>
      <c r="F87" s="5" t="n">
        <v>1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</row>
    <row r="88">
      <c r="B88" t="inlineStr">
        <is>
          <t>Prod 5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1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</row>
    <row r="89">
      <c r="B89" t="inlineStr">
        <is>
          <t>Prod 6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1</v>
      </c>
      <c r="I89" s="5" t="n">
        <v>0</v>
      </c>
      <c r="J89" s="5" t="n">
        <v>0</v>
      </c>
      <c r="K89" s="5" t="n">
        <v>0</v>
      </c>
      <c r="L89" s="5" t="n">
        <v>0</v>
      </c>
    </row>
    <row r="90">
      <c r="B90" t="inlineStr">
        <is>
          <t>Prod 7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1</v>
      </c>
      <c r="J90" s="5" t="n">
        <v>0</v>
      </c>
      <c r="K90" s="5" t="n">
        <v>0</v>
      </c>
      <c r="L90" s="5" t="n">
        <v>0</v>
      </c>
    </row>
    <row r="91">
      <c r="B91" t="inlineStr">
        <is>
          <t>Prod 8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1</v>
      </c>
      <c r="K91" s="5" t="n">
        <v>0</v>
      </c>
      <c r="L91" s="5" t="n">
        <v>0</v>
      </c>
    </row>
    <row r="92">
      <c r="B92" t="inlineStr">
        <is>
          <t>Prod 9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1</v>
      </c>
      <c r="L92" s="5" t="n">
        <v>0</v>
      </c>
    </row>
    <row r="93">
      <c r="B93" t="inlineStr">
        <is>
          <t>Prod 10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1</v>
      </c>
    </row>
    <row r="95" ht="15.75" customHeight="1">
      <c r="A95" s="10" t="inlineStr">
        <is>
          <t>PRODUCTION LINE ALLOCATION</t>
        </is>
      </c>
    </row>
    <row r="96">
      <c r="B96" s="1" t="inlineStr">
        <is>
          <t>Year</t>
        </is>
      </c>
      <c r="C96" s="15" t="inlineStr">
        <is>
          <t>Line 1</t>
        </is>
      </c>
      <c r="D96" s="15" t="inlineStr">
        <is>
          <t>Line 1</t>
        </is>
      </c>
      <c r="E96" s="15" t="inlineStr">
        <is>
          <t>Line 1</t>
        </is>
      </c>
      <c r="F96" s="15" t="inlineStr">
        <is>
          <t>Line 1</t>
        </is>
      </c>
      <c r="G96" s="15" t="inlineStr">
        <is>
          <t>Line 1</t>
        </is>
      </c>
      <c r="H96" s="15" t="inlineStr">
        <is>
          <t>Line 1</t>
        </is>
      </c>
      <c r="I96" s="15" t="inlineStr">
        <is>
          <t>Line 1</t>
        </is>
      </c>
      <c r="J96" s="15" t="inlineStr">
        <is>
          <t>Line 1</t>
        </is>
      </c>
      <c r="K96" s="15" t="inlineStr">
        <is>
          <t>Line 1</t>
        </is>
      </c>
      <c r="L96" s="15" t="inlineStr">
        <is>
          <t>Line 1</t>
        </is>
      </c>
      <c r="M96" s="17" t="inlineStr">
        <is>
          <t>Line 2</t>
        </is>
      </c>
      <c r="N96" s="17" t="inlineStr">
        <is>
          <t>Line 2</t>
        </is>
      </c>
      <c r="O96" s="17" t="inlineStr">
        <is>
          <t>Line 2</t>
        </is>
      </c>
      <c r="P96" s="17" t="inlineStr">
        <is>
          <t>Line 2</t>
        </is>
      </c>
      <c r="Q96" s="17" t="inlineStr">
        <is>
          <t>Line 2</t>
        </is>
      </c>
      <c r="R96" s="17" t="inlineStr">
        <is>
          <t>Line 2</t>
        </is>
      </c>
      <c r="S96" s="17" t="inlineStr">
        <is>
          <t>Line 2</t>
        </is>
      </c>
      <c r="T96" s="17" t="inlineStr">
        <is>
          <t>Line 2</t>
        </is>
      </c>
      <c r="U96" s="17" t="inlineStr">
        <is>
          <t>Line 2</t>
        </is>
      </c>
      <c r="V96" s="17" t="inlineStr">
        <is>
          <t>Line 2</t>
        </is>
      </c>
      <c r="W96" s="15" t="inlineStr">
        <is>
          <t>Line 3</t>
        </is>
      </c>
      <c r="X96" s="15" t="inlineStr">
        <is>
          <t>Line 3</t>
        </is>
      </c>
      <c r="Y96" s="15" t="inlineStr">
        <is>
          <t>Line 3</t>
        </is>
      </c>
      <c r="Z96" s="15" t="inlineStr">
        <is>
          <t>Line 3</t>
        </is>
      </c>
      <c r="AA96" s="15" t="inlineStr">
        <is>
          <t>Line 3</t>
        </is>
      </c>
      <c r="AB96" s="15" t="inlineStr">
        <is>
          <t>Line 3</t>
        </is>
      </c>
      <c r="AC96" s="15" t="inlineStr">
        <is>
          <t>Line 3</t>
        </is>
      </c>
      <c r="AD96" s="15" t="inlineStr">
        <is>
          <t>Line 3</t>
        </is>
      </c>
      <c r="AE96" s="15" t="inlineStr">
        <is>
          <t>Line 3</t>
        </is>
      </c>
      <c r="AF96" s="15" t="inlineStr">
        <is>
          <t>Line 3</t>
        </is>
      </c>
      <c r="AG96" s="17" t="inlineStr">
        <is>
          <t>Line 4</t>
        </is>
      </c>
      <c r="AH96" s="17" t="inlineStr">
        <is>
          <t>Line 4</t>
        </is>
      </c>
      <c r="AI96" s="17" t="inlineStr">
        <is>
          <t>Line 4</t>
        </is>
      </c>
      <c r="AJ96" s="17" t="inlineStr">
        <is>
          <t>Line 4</t>
        </is>
      </c>
      <c r="AK96" s="17" t="inlineStr">
        <is>
          <t>Line 4</t>
        </is>
      </c>
      <c r="AL96" s="17" t="inlineStr">
        <is>
          <t>Line 4</t>
        </is>
      </c>
      <c r="AM96" s="17" t="inlineStr">
        <is>
          <t>Line 4</t>
        </is>
      </c>
      <c r="AN96" s="17" t="inlineStr">
        <is>
          <t>Line 4</t>
        </is>
      </c>
      <c r="AO96" s="17" t="inlineStr">
        <is>
          <t>Line 4</t>
        </is>
      </c>
      <c r="AP96" s="17" t="inlineStr">
        <is>
          <t>Line 4</t>
        </is>
      </c>
      <c r="AQ96" s="15" t="inlineStr">
        <is>
          <t>Line 5</t>
        </is>
      </c>
      <c r="AR96" s="15" t="inlineStr">
        <is>
          <t>Line 5</t>
        </is>
      </c>
      <c r="AS96" s="15" t="inlineStr">
        <is>
          <t>Line 5</t>
        </is>
      </c>
      <c r="AT96" s="15" t="inlineStr">
        <is>
          <t>Line 5</t>
        </is>
      </c>
      <c r="AU96" s="15" t="inlineStr">
        <is>
          <t>Line 5</t>
        </is>
      </c>
      <c r="AV96" s="15" t="inlineStr">
        <is>
          <t>Line 5</t>
        </is>
      </c>
      <c r="AW96" s="15" t="inlineStr">
        <is>
          <t>Line 5</t>
        </is>
      </c>
      <c r="AX96" s="15" t="inlineStr">
        <is>
          <t>Line 5</t>
        </is>
      </c>
      <c r="AY96" s="15" t="inlineStr">
        <is>
          <t>Line 5</t>
        </is>
      </c>
      <c r="AZ96" s="15" t="inlineStr">
        <is>
          <t>Line 5</t>
        </is>
      </c>
      <c r="BA96" s="17" t="inlineStr">
        <is>
          <t>Line 6</t>
        </is>
      </c>
      <c r="BB96" s="17" t="inlineStr">
        <is>
          <t>Line 6</t>
        </is>
      </c>
      <c r="BC96" s="17" t="inlineStr">
        <is>
          <t>Line 6</t>
        </is>
      </c>
      <c r="BD96" s="17" t="inlineStr">
        <is>
          <t>Line 6</t>
        </is>
      </c>
      <c r="BE96" s="17" t="inlineStr">
        <is>
          <t>Line 6</t>
        </is>
      </c>
      <c r="BF96" s="17" t="inlineStr">
        <is>
          <t>Line 6</t>
        </is>
      </c>
      <c r="BG96" s="17" t="inlineStr">
        <is>
          <t>Line 6</t>
        </is>
      </c>
      <c r="BH96" s="17" t="inlineStr">
        <is>
          <t>Line 6</t>
        </is>
      </c>
      <c r="BI96" s="17" t="inlineStr">
        <is>
          <t>Line 6</t>
        </is>
      </c>
      <c r="BJ96" s="17" t="inlineStr">
        <is>
          <t>Line 6</t>
        </is>
      </c>
      <c r="BK96" s="15" t="inlineStr">
        <is>
          <t>Line 7</t>
        </is>
      </c>
      <c r="BL96" s="15" t="inlineStr">
        <is>
          <t>Line 7</t>
        </is>
      </c>
      <c r="BM96" s="15" t="inlineStr">
        <is>
          <t>Line 7</t>
        </is>
      </c>
      <c r="BN96" s="15" t="inlineStr">
        <is>
          <t>Line 7</t>
        </is>
      </c>
      <c r="BO96" s="15" t="inlineStr">
        <is>
          <t>Line 7</t>
        </is>
      </c>
      <c r="BP96" s="15" t="inlineStr">
        <is>
          <t>Line 7</t>
        </is>
      </c>
      <c r="BQ96" s="15" t="inlineStr">
        <is>
          <t>Line 7</t>
        </is>
      </c>
      <c r="BR96" s="15" t="inlineStr">
        <is>
          <t>Line 7</t>
        </is>
      </c>
      <c r="BS96" s="15" t="inlineStr">
        <is>
          <t>Line 7</t>
        </is>
      </c>
      <c r="BT96" s="15" t="inlineStr">
        <is>
          <t>Line 7</t>
        </is>
      </c>
      <c r="BU96" s="17" t="inlineStr">
        <is>
          <t>Line 8</t>
        </is>
      </c>
      <c r="BV96" s="17" t="inlineStr">
        <is>
          <t>Line 8</t>
        </is>
      </c>
      <c r="BW96" s="17" t="inlineStr">
        <is>
          <t>Line 8</t>
        </is>
      </c>
      <c r="BX96" s="17" t="inlineStr">
        <is>
          <t>Line 8</t>
        </is>
      </c>
      <c r="BY96" s="17" t="inlineStr">
        <is>
          <t>Line 8</t>
        </is>
      </c>
      <c r="BZ96" s="17" t="inlineStr">
        <is>
          <t>Line 8</t>
        </is>
      </c>
      <c r="CA96" s="17" t="inlineStr">
        <is>
          <t>Line 8</t>
        </is>
      </c>
      <c r="CB96" s="17" t="inlineStr">
        <is>
          <t>Line 8</t>
        </is>
      </c>
      <c r="CC96" s="17" t="inlineStr">
        <is>
          <t>Line 8</t>
        </is>
      </c>
      <c r="CD96" s="17" t="inlineStr">
        <is>
          <t>Line 8</t>
        </is>
      </c>
      <c r="CE96" s="15" t="inlineStr">
        <is>
          <t>Line 9</t>
        </is>
      </c>
      <c r="CF96" s="15" t="inlineStr">
        <is>
          <t>Line 9</t>
        </is>
      </c>
      <c r="CG96" s="15" t="inlineStr">
        <is>
          <t>Line 9</t>
        </is>
      </c>
      <c r="CH96" s="15" t="inlineStr">
        <is>
          <t>Line 9</t>
        </is>
      </c>
      <c r="CI96" s="15" t="inlineStr">
        <is>
          <t>Line 9</t>
        </is>
      </c>
      <c r="CJ96" s="15" t="inlineStr">
        <is>
          <t>Line 9</t>
        </is>
      </c>
      <c r="CK96" s="15" t="inlineStr">
        <is>
          <t>Line 9</t>
        </is>
      </c>
      <c r="CL96" s="15" t="inlineStr">
        <is>
          <t>Line 9</t>
        </is>
      </c>
      <c r="CM96" s="15" t="inlineStr">
        <is>
          <t>Line 9</t>
        </is>
      </c>
      <c r="CN96" s="15" t="inlineStr">
        <is>
          <t>Line 9</t>
        </is>
      </c>
      <c r="CO96" s="17" t="inlineStr">
        <is>
          <t>Line 10</t>
        </is>
      </c>
      <c r="CP96" s="17" t="inlineStr">
        <is>
          <t>Line 10</t>
        </is>
      </c>
      <c r="CQ96" s="17" t="inlineStr">
        <is>
          <t>Line 10</t>
        </is>
      </c>
      <c r="CR96" s="17" t="inlineStr">
        <is>
          <t>Line 10</t>
        </is>
      </c>
      <c r="CS96" s="17" t="inlineStr">
        <is>
          <t>Line 10</t>
        </is>
      </c>
      <c r="CT96" s="17" t="inlineStr">
        <is>
          <t>Line 10</t>
        </is>
      </c>
      <c r="CU96" s="17" t="inlineStr">
        <is>
          <t>Line 10</t>
        </is>
      </c>
      <c r="CV96" s="17" t="inlineStr">
        <is>
          <t>Line 10</t>
        </is>
      </c>
      <c r="CW96" s="17" t="inlineStr">
        <is>
          <t>Line 10</t>
        </is>
      </c>
      <c r="CX96" s="17" t="inlineStr">
        <is>
          <t>Line 10</t>
        </is>
      </c>
      <c r="CY96" s="15" t="inlineStr">
        <is>
          <t>Line 11</t>
        </is>
      </c>
      <c r="CZ96" s="15" t="inlineStr">
        <is>
          <t>Line 11</t>
        </is>
      </c>
      <c r="DA96" s="15" t="inlineStr">
        <is>
          <t>Line 11</t>
        </is>
      </c>
      <c r="DB96" s="15" t="inlineStr">
        <is>
          <t>Line 11</t>
        </is>
      </c>
      <c r="DC96" s="15" t="inlineStr">
        <is>
          <t>Line 11</t>
        </is>
      </c>
      <c r="DD96" s="15" t="inlineStr">
        <is>
          <t>Line 11</t>
        </is>
      </c>
      <c r="DE96" s="15" t="inlineStr">
        <is>
          <t>Line 11</t>
        </is>
      </c>
      <c r="DF96" s="15" t="inlineStr">
        <is>
          <t>Line 11</t>
        </is>
      </c>
      <c r="DG96" s="15" t="inlineStr">
        <is>
          <t>Line 11</t>
        </is>
      </c>
      <c r="DH96" s="15" t="inlineStr">
        <is>
          <t>Line 11</t>
        </is>
      </c>
      <c r="DI96" s="17" t="inlineStr">
        <is>
          <t>Line 12</t>
        </is>
      </c>
      <c r="DJ96" s="17" t="inlineStr">
        <is>
          <t>Line 12</t>
        </is>
      </c>
      <c r="DK96" s="17" t="inlineStr">
        <is>
          <t>Line 12</t>
        </is>
      </c>
      <c r="DL96" s="17" t="inlineStr">
        <is>
          <t>Line 12</t>
        </is>
      </c>
      <c r="DM96" s="17" t="inlineStr">
        <is>
          <t>Line 12</t>
        </is>
      </c>
      <c r="DN96" s="17" t="inlineStr">
        <is>
          <t>Line 12</t>
        </is>
      </c>
      <c r="DO96" s="17" t="inlineStr">
        <is>
          <t>Line 12</t>
        </is>
      </c>
      <c r="DP96" s="17" t="inlineStr">
        <is>
          <t>Line 12</t>
        </is>
      </c>
      <c r="DQ96" s="17" t="inlineStr">
        <is>
          <t>Line 12</t>
        </is>
      </c>
      <c r="DR96" s="17" t="inlineStr">
        <is>
          <t>Line 12</t>
        </is>
      </c>
      <c r="DS96" s="15" t="inlineStr">
        <is>
          <t>Line 13</t>
        </is>
      </c>
      <c r="DT96" s="15" t="inlineStr">
        <is>
          <t>Line 13</t>
        </is>
      </c>
      <c r="DU96" s="15" t="inlineStr">
        <is>
          <t>Line 13</t>
        </is>
      </c>
      <c r="DV96" s="15" t="inlineStr">
        <is>
          <t>Line 13</t>
        </is>
      </c>
      <c r="DW96" s="15" t="inlineStr">
        <is>
          <t>Line 13</t>
        </is>
      </c>
      <c r="DX96" s="15" t="inlineStr">
        <is>
          <t>Line 13</t>
        </is>
      </c>
      <c r="DY96" s="15" t="inlineStr">
        <is>
          <t>Line 13</t>
        </is>
      </c>
      <c r="DZ96" s="15" t="inlineStr">
        <is>
          <t>Line 13</t>
        </is>
      </c>
      <c r="EA96" s="15" t="inlineStr">
        <is>
          <t>Line 13</t>
        </is>
      </c>
      <c r="EB96" s="15" t="inlineStr">
        <is>
          <t>Line 13</t>
        </is>
      </c>
      <c r="EC96" s="17" t="inlineStr">
        <is>
          <t>Line 14</t>
        </is>
      </c>
      <c r="ED96" s="17" t="inlineStr">
        <is>
          <t>Line 14</t>
        </is>
      </c>
      <c r="EE96" s="17" t="inlineStr">
        <is>
          <t>Line 14</t>
        </is>
      </c>
      <c r="EF96" s="17" t="inlineStr">
        <is>
          <t>Line 14</t>
        </is>
      </c>
      <c r="EG96" s="17" t="inlineStr">
        <is>
          <t>Line 14</t>
        </is>
      </c>
      <c r="EH96" s="17" t="inlineStr">
        <is>
          <t>Line 14</t>
        </is>
      </c>
      <c r="EI96" s="17" t="inlineStr">
        <is>
          <t>Line 14</t>
        </is>
      </c>
      <c r="EJ96" s="17" t="inlineStr">
        <is>
          <t>Line 14</t>
        </is>
      </c>
      <c r="EK96" s="17" t="inlineStr">
        <is>
          <t>Line 14</t>
        </is>
      </c>
      <c r="EL96" s="17" t="inlineStr">
        <is>
          <t>Line 14</t>
        </is>
      </c>
      <c r="EM96" s="15" t="inlineStr">
        <is>
          <t>Line 15</t>
        </is>
      </c>
      <c r="EN96" s="15" t="inlineStr">
        <is>
          <t>Line 15</t>
        </is>
      </c>
      <c r="EO96" s="15" t="inlineStr">
        <is>
          <t>Line 15</t>
        </is>
      </c>
      <c r="EP96" s="15" t="inlineStr">
        <is>
          <t>Line 15</t>
        </is>
      </c>
      <c r="EQ96" s="15" t="inlineStr">
        <is>
          <t>Line 15</t>
        </is>
      </c>
      <c r="ER96" s="15" t="inlineStr">
        <is>
          <t>Line 15</t>
        </is>
      </c>
      <c r="ES96" s="15" t="inlineStr">
        <is>
          <t>Line 15</t>
        </is>
      </c>
      <c r="ET96" s="15" t="inlineStr">
        <is>
          <t>Line 15</t>
        </is>
      </c>
      <c r="EU96" s="15" t="inlineStr">
        <is>
          <t>Line 15</t>
        </is>
      </c>
      <c r="EV96" s="15" t="inlineStr">
        <is>
          <t>Line 15</t>
        </is>
      </c>
    </row>
    <row r="97">
      <c r="C97" s="15" t="inlineStr">
        <is>
          <t>P1</t>
        </is>
      </c>
      <c r="D97" s="15" t="inlineStr">
        <is>
          <t>P2</t>
        </is>
      </c>
      <c r="E97" s="15" t="inlineStr">
        <is>
          <t>P3</t>
        </is>
      </c>
      <c r="F97" s="15" t="inlineStr">
        <is>
          <t>P4</t>
        </is>
      </c>
      <c r="G97" s="15" t="inlineStr">
        <is>
          <t>P5</t>
        </is>
      </c>
      <c r="H97" s="15" t="inlineStr">
        <is>
          <t>P6</t>
        </is>
      </c>
      <c r="I97" s="15" t="inlineStr">
        <is>
          <t>P7</t>
        </is>
      </c>
      <c r="J97" s="15" t="inlineStr">
        <is>
          <t>P8</t>
        </is>
      </c>
      <c r="K97" s="15" t="inlineStr">
        <is>
          <t>P9</t>
        </is>
      </c>
      <c r="L97" s="15" t="inlineStr">
        <is>
          <t>P10</t>
        </is>
      </c>
      <c r="M97" s="17" t="inlineStr">
        <is>
          <t>P1</t>
        </is>
      </c>
      <c r="N97" s="17" t="inlineStr">
        <is>
          <t>P2</t>
        </is>
      </c>
      <c r="O97" s="17" t="inlineStr">
        <is>
          <t>P3</t>
        </is>
      </c>
      <c r="P97" s="17" t="inlineStr">
        <is>
          <t>P4</t>
        </is>
      </c>
      <c r="Q97" s="17" t="inlineStr">
        <is>
          <t>P5</t>
        </is>
      </c>
      <c r="R97" s="17" t="inlineStr">
        <is>
          <t>P6</t>
        </is>
      </c>
      <c r="S97" s="17" t="inlineStr">
        <is>
          <t>P7</t>
        </is>
      </c>
      <c r="T97" s="17" t="inlineStr">
        <is>
          <t>P8</t>
        </is>
      </c>
      <c r="U97" s="17" t="inlineStr">
        <is>
          <t>P9</t>
        </is>
      </c>
      <c r="V97" s="17" t="inlineStr">
        <is>
          <t>P10</t>
        </is>
      </c>
      <c r="W97" s="15" t="inlineStr">
        <is>
          <t>P1</t>
        </is>
      </c>
      <c r="X97" s="15" t="inlineStr">
        <is>
          <t>P2</t>
        </is>
      </c>
      <c r="Y97" s="15" t="inlineStr">
        <is>
          <t>P3</t>
        </is>
      </c>
      <c r="Z97" s="15" t="inlineStr">
        <is>
          <t>P4</t>
        </is>
      </c>
      <c r="AA97" s="15" t="inlineStr">
        <is>
          <t>P5</t>
        </is>
      </c>
      <c r="AB97" s="15" t="inlineStr">
        <is>
          <t>P6</t>
        </is>
      </c>
      <c r="AC97" s="15" t="inlineStr">
        <is>
          <t>P7</t>
        </is>
      </c>
      <c r="AD97" s="15" t="inlineStr">
        <is>
          <t>P8</t>
        </is>
      </c>
      <c r="AE97" s="15" t="inlineStr">
        <is>
          <t>P9</t>
        </is>
      </c>
      <c r="AF97" s="15" t="inlineStr">
        <is>
          <t>P10</t>
        </is>
      </c>
      <c r="AG97" s="17" t="inlineStr">
        <is>
          <t>P1</t>
        </is>
      </c>
      <c r="AH97" s="17" t="inlineStr">
        <is>
          <t>P2</t>
        </is>
      </c>
      <c r="AI97" s="17" t="inlineStr">
        <is>
          <t>P3</t>
        </is>
      </c>
      <c r="AJ97" s="17" t="inlineStr">
        <is>
          <t>P4</t>
        </is>
      </c>
      <c r="AK97" s="17" t="inlineStr">
        <is>
          <t>P5</t>
        </is>
      </c>
      <c r="AL97" s="17" t="inlineStr">
        <is>
          <t>P6</t>
        </is>
      </c>
      <c r="AM97" s="17" t="inlineStr">
        <is>
          <t>P7</t>
        </is>
      </c>
      <c r="AN97" s="17" t="inlineStr">
        <is>
          <t>P8</t>
        </is>
      </c>
      <c r="AO97" s="17" t="inlineStr">
        <is>
          <t>P9</t>
        </is>
      </c>
      <c r="AP97" s="17" t="inlineStr">
        <is>
          <t>P10</t>
        </is>
      </c>
      <c r="AQ97" s="15" t="inlineStr">
        <is>
          <t>P1</t>
        </is>
      </c>
      <c r="AR97" s="15" t="inlineStr">
        <is>
          <t>P2</t>
        </is>
      </c>
      <c r="AS97" s="15" t="inlineStr">
        <is>
          <t>P3</t>
        </is>
      </c>
      <c r="AT97" s="15" t="inlineStr">
        <is>
          <t>P4</t>
        </is>
      </c>
      <c r="AU97" s="15" t="inlineStr">
        <is>
          <t>P5</t>
        </is>
      </c>
      <c r="AV97" s="15" t="inlineStr">
        <is>
          <t>P6</t>
        </is>
      </c>
      <c r="AW97" s="15" t="inlineStr">
        <is>
          <t>P7</t>
        </is>
      </c>
      <c r="AX97" s="15" t="inlineStr">
        <is>
          <t>P8</t>
        </is>
      </c>
      <c r="AY97" s="15" t="inlineStr">
        <is>
          <t>P9</t>
        </is>
      </c>
      <c r="AZ97" s="15" t="inlineStr">
        <is>
          <t>P10</t>
        </is>
      </c>
      <c r="BA97" s="17" t="inlineStr">
        <is>
          <t>P1</t>
        </is>
      </c>
      <c r="BB97" s="17" t="inlineStr">
        <is>
          <t>P2</t>
        </is>
      </c>
      <c r="BC97" s="17" t="inlineStr">
        <is>
          <t>P3</t>
        </is>
      </c>
      <c r="BD97" s="17" t="inlineStr">
        <is>
          <t>P4</t>
        </is>
      </c>
      <c r="BE97" s="17" t="inlineStr">
        <is>
          <t>P5</t>
        </is>
      </c>
      <c r="BF97" s="17" t="inlineStr">
        <is>
          <t>P6</t>
        </is>
      </c>
      <c r="BG97" s="17" t="inlineStr">
        <is>
          <t>P7</t>
        </is>
      </c>
      <c r="BH97" s="17" t="inlineStr">
        <is>
          <t>P8</t>
        </is>
      </c>
      <c r="BI97" s="17" t="inlineStr">
        <is>
          <t>P9</t>
        </is>
      </c>
      <c r="BJ97" s="17" t="inlineStr">
        <is>
          <t>P10</t>
        </is>
      </c>
      <c r="BK97" s="15" t="inlineStr">
        <is>
          <t>P1</t>
        </is>
      </c>
      <c r="BL97" s="15" t="inlineStr">
        <is>
          <t>P2</t>
        </is>
      </c>
      <c r="BM97" s="15" t="inlineStr">
        <is>
          <t>P3</t>
        </is>
      </c>
      <c r="BN97" s="15" t="inlineStr">
        <is>
          <t>P4</t>
        </is>
      </c>
      <c r="BO97" s="15" t="inlineStr">
        <is>
          <t>P5</t>
        </is>
      </c>
      <c r="BP97" s="15" t="inlineStr">
        <is>
          <t>P6</t>
        </is>
      </c>
      <c r="BQ97" s="15" t="inlineStr">
        <is>
          <t>P7</t>
        </is>
      </c>
      <c r="BR97" s="15" t="inlineStr">
        <is>
          <t>P8</t>
        </is>
      </c>
      <c r="BS97" s="15" t="inlineStr">
        <is>
          <t>P9</t>
        </is>
      </c>
      <c r="BT97" s="15" t="inlineStr">
        <is>
          <t>P10</t>
        </is>
      </c>
      <c r="BU97" s="17" t="inlineStr">
        <is>
          <t>P1</t>
        </is>
      </c>
      <c r="BV97" s="17" t="inlineStr">
        <is>
          <t>P2</t>
        </is>
      </c>
      <c r="BW97" s="17" t="inlineStr">
        <is>
          <t>P3</t>
        </is>
      </c>
      <c r="BX97" s="17" t="inlineStr">
        <is>
          <t>P4</t>
        </is>
      </c>
      <c r="BY97" s="17" t="inlineStr">
        <is>
          <t>P5</t>
        </is>
      </c>
      <c r="BZ97" s="17" t="inlineStr">
        <is>
          <t>P6</t>
        </is>
      </c>
      <c r="CA97" s="17" t="inlineStr">
        <is>
          <t>P7</t>
        </is>
      </c>
      <c r="CB97" s="17" t="inlineStr">
        <is>
          <t>P8</t>
        </is>
      </c>
      <c r="CC97" s="17" t="inlineStr">
        <is>
          <t>P9</t>
        </is>
      </c>
      <c r="CD97" s="17" t="inlineStr">
        <is>
          <t>P10</t>
        </is>
      </c>
      <c r="CE97" s="15" t="inlineStr">
        <is>
          <t>P1</t>
        </is>
      </c>
      <c r="CF97" s="15" t="inlineStr">
        <is>
          <t>P2</t>
        </is>
      </c>
      <c r="CG97" s="15" t="inlineStr">
        <is>
          <t>P3</t>
        </is>
      </c>
      <c r="CH97" s="15" t="inlineStr">
        <is>
          <t>P4</t>
        </is>
      </c>
      <c r="CI97" s="15" t="inlineStr">
        <is>
          <t>P5</t>
        </is>
      </c>
      <c r="CJ97" s="15" t="inlineStr">
        <is>
          <t>P6</t>
        </is>
      </c>
      <c r="CK97" s="15" t="inlineStr">
        <is>
          <t>P7</t>
        </is>
      </c>
      <c r="CL97" s="15" t="inlineStr">
        <is>
          <t>P8</t>
        </is>
      </c>
      <c r="CM97" s="15" t="inlineStr">
        <is>
          <t>P9</t>
        </is>
      </c>
      <c r="CN97" s="15" t="inlineStr">
        <is>
          <t>P10</t>
        </is>
      </c>
      <c r="CO97" s="17" t="inlineStr">
        <is>
          <t>P1</t>
        </is>
      </c>
      <c r="CP97" s="17" t="inlineStr">
        <is>
          <t>P2</t>
        </is>
      </c>
      <c r="CQ97" s="17" t="inlineStr">
        <is>
          <t>P3</t>
        </is>
      </c>
      <c r="CR97" s="17" t="inlineStr">
        <is>
          <t>P4</t>
        </is>
      </c>
      <c r="CS97" s="17" t="inlineStr">
        <is>
          <t>P5</t>
        </is>
      </c>
      <c r="CT97" s="17" t="inlineStr">
        <is>
          <t>P6</t>
        </is>
      </c>
      <c r="CU97" s="17" t="inlineStr">
        <is>
          <t>P7</t>
        </is>
      </c>
      <c r="CV97" s="17" t="inlineStr">
        <is>
          <t>P8</t>
        </is>
      </c>
      <c r="CW97" s="17" t="inlineStr">
        <is>
          <t>P9</t>
        </is>
      </c>
      <c r="CX97" s="17" t="inlineStr">
        <is>
          <t>P10</t>
        </is>
      </c>
      <c r="CY97" s="15" t="inlineStr">
        <is>
          <t>P1</t>
        </is>
      </c>
      <c r="CZ97" s="15" t="inlineStr">
        <is>
          <t>P2</t>
        </is>
      </c>
      <c r="DA97" s="15" t="inlineStr">
        <is>
          <t>P3</t>
        </is>
      </c>
      <c r="DB97" s="15" t="inlineStr">
        <is>
          <t>P4</t>
        </is>
      </c>
      <c r="DC97" s="15" t="inlineStr">
        <is>
          <t>P5</t>
        </is>
      </c>
      <c r="DD97" s="15" t="inlineStr">
        <is>
          <t>P6</t>
        </is>
      </c>
      <c r="DE97" s="15" t="inlineStr">
        <is>
          <t>P7</t>
        </is>
      </c>
      <c r="DF97" s="15" t="inlineStr">
        <is>
          <t>P8</t>
        </is>
      </c>
      <c r="DG97" s="15" t="inlineStr">
        <is>
          <t>P9</t>
        </is>
      </c>
      <c r="DH97" s="15" t="inlineStr">
        <is>
          <t>P10</t>
        </is>
      </c>
      <c r="DI97" s="17" t="inlineStr">
        <is>
          <t>P1</t>
        </is>
      </c>
      <c r="DJ97" s="17" t="inlineStr">
        <is>
          <t>P2</t>
        </is>
      </c>
      <c r="DK97" s="17" t="inlineStr">
        <is>
          <t>P3</t>
        </is>
      </c>
      <c r="DL97" s="17" t="inlineStr">
        <is>
          <t>P4</t>
        </is>
      </c>
      <c r="DM97" s="17" t="inlineStr">
        <is>
          <t>P5</t>
        </is>
      </c>
      <c r="DN97" s="17" t="inlineStr">
        <is>
          <t>P6</t>
        </is>
      </c>
      <c r="DO97" s="17" t="inlineStr">
        <is>
          <t>P7</t>
        </is>
      </c>
      <c r="DP97" s="17" t="inlineStr">
        <is>
          <t>P8</t>
        </is>
      </c>
      <c r="DQ97" s="17" t="inlineStr">
        <is>
          <t>P9</t>
        </is>
      </c>
      <c r="DR97" s="17" t="inlineStr">
        <is>
          <t>P10</t>
        </is>
      </c>
      <c r="DS97" s="15" t="inlineStr">
        <is>
          <t>P1</t>
        </is>
      </c>
      <c r="DT97" s="15" t="inlineStr">
        <is>
          <t>P2</t>
        </is>
      </c>
      <c r="DU97" s="15" t="inlineStr">
        <is>
          <t>P3</t>
        </is>
      </c>
      <c r="DV97" s="15" t="inlineStr">
        <is>
          <t>P4</t>
        </is>
      </c>
      <c r="DW97" s="15" t="inlineStr">
        <is>
          <t>P5</t>
        </is>
      </c>
      <c r="DX97" s="15" t="inlineStr">
        <is>
          <t>P6</t>
        </is>
      </c>
      <c r="DY97" s="15" t="inlineStr">
        <is>
          <t>P7</t>
        </is>
      </c>
      <c r="DZ97" s="15" t="inlineStr">
        <is>
          <t>P8</t>
        </is>
      </c>
      <c r="EA97" s="15" t="inlineStr">
        <is>
          <t>P9</t>
        </is>
      </c>
      <c r="EB97" s="15" t="inlineStr">
        <is>
          <t>P10</t>
        </is>
      </c>
      <c r="EC97" s="17" t="inlineStr">
        <is>
          <t>P1</t>
        </is>
      </c>
      <c r="ED97" s="17" t="inlineStr">
        <is>
          <t>P2</t>
        </is>
      </c>
      <c r="EE97" s="17" t="inlineStr">
        <is>
          <t>P3</t>
        </is>
      </c>
      <c r="EF97" s="17" t="inlineStr">
        <is>
          <t>P4</t>
        </is>
      </c>
      <c r="EG97" s="17" t="inlineStr">
        <is>
          <t>P5</t>
        </is>
      </c>
      <c r="EH97" s="17" t="inlineStr">
        <is>
          <t>P6</t>
        </is>
      </c>
      <c r="EI97" s="17" t="inlineStr">
        <is>
          <t>P7</t>
        </is>
      </c>
      <c r="EJ97" s="17" t="inlineStr">
        <is>
          <t>P8</t>
        </is>
      </c>
      <c r="EK97" s="17" t="inlineStr">
        <is>
          <t>P9</t>
        </is>
      </c>
      <c r="EL97" s="17" t="inlineStr">
        <is>
          <t>P10</t>
        </is>
      </c>
      <c r="EM97" s="15" t="inlineStr">
        <is>
          <t>P1</t>
        </is>
      </c>
      <c r="EN97" s="15" t="inlineStr">
        <is>
          <t>P2</t>
        </is>
      </c>
      <c r="EO97" s="15" t="inlineStr">
        <is>
          <t>P3</t>
        </is>
      </c>
      <c r="EP97" s="15" t="inlineStr">
        <is>
          <t>P4</t>
        </is>
      </c>
      <c r="EQ97" s="15" t="inlineStr">
        <is>
          <t>P5</t>
        </is>
      </c>
      <c r="ER97" s="15" t="inlineStr">
        <is>
          <t>P6</t>
        </is>
      </c>
      <c r="ES97" s="15" t="inlineStr">
        <is>
          <t>P7</t>
        </is>
      </c>
      <c r="ET97" s="15" t="inlineStr">
        <is>
          <t>P8</t>
        </is>
      </c>
      <c r="EU97" s="15" t="inlineStr">
        <is>
          <t>P9</t>
        </is>
      </c>
      <c r="EV97" s="15" t="inlineStr">
        <is>
          <t>P10</t>
        </is>
      </c>
    </row>
    <row r="98">
      <c r="B98" s="1" t="n">
        <v>2025</v>
      </c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8" t="n"/>
      <c r="BJ98" s="18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6" t="n"/>
      <c r="BT98" s="16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6" t="n"/>
      <c r="CF98" s="16" t="n"/>
      <c r="CG98" s="16" t="n"/>
      <c r="CH98" s="16" t="n"/>
      <c r="CI98" s="16" t="n"/>
      <c r="CJ98" s="16" t="n"/>
      <c r="CK98" s="16" t="n"/>
      <c r="CL98" s="16" t="n"/>
      <c r="CM98" s="16" t="n"/>
      <c r="CN98" s="16" t="n"/>
      <c r="CO98" s="18" t="n"/>
      <c r="CP98" s="18" t="n"/>
      <c r="CQ98" s="18" t="n"/>
      <c r="CR98" s="18" t="n"/>
      <c r="CS98" s="18" t="n"/>
      <c r="CT98" s="18" t="n"/>
      <c r="CU98" s="18" t="n"/>
      <c r="CV98" s="18" t="n"/>
      <c r="CW98" s="18" t="n"/>
      <c r="CX98" s="18" t="n"/>
      <c r="CY98" s="16" t="n"/>
      <c r="CZ98" s="16" t="n"/>
      <c r="DA98" s="16" t="n"/>
      <c r="DB98" s="16" t="n"/>
      <c r="DC98" s="16" t="n"/>
      <c r="DD98" s="16" t="n"/>
      <c r="DE98" s="16" t="n"/>
      <c r="DF98" s="16" t="n"/>
      <c r="DG98" s="16" t="n"/>
      <c r="DH98" s="16" t="n"/>
      <c r="DI98" s="18" t="n"/>
      <c r="DJ98" s="18" t="n"/>
      <c r="DK98" s="18" t="n"/>
      <c r="DL98" s="18" t="n"/>
      <c r="DM98" s="18" t="n"/>
      <c r="DN98" s="18" t="n"/>
      <c r="DO98" s="18" t="n"/>
      <c r="DP98" s="18" t="n"/>
      <c r="DQ98" s="18" t="n"/>
      <c r="DR98" s="18" t="n"/>
      <c r="DS98" s="16" t="n"/>
      <c r="DT98" s="16" t="n"/>
      <c r="DU98" s="16" t="n"/>
      <c r="DV98" s="16" t="n"/>
      <c r="DW98" s="16" t="n"/>
      <c r="DX98" s="16" t="n"/>
      <c r="DY98" s="16" t="n"/>
      <c r="DZ98" s="16" t="n"/>
      <c r="EA98" s="16" t="n"/>
      <c r="EB98" s="16" t="n"/>
      <c r="EC98" s="18" t="n"/>
      <c r="ED98" s="18" t="n"/>
      <c r="EE98" s="18" t="n"/>
      <c r="EF98" s="18" t="n"/>
      <c r="EG98" s="18" t="n"/>
      <c r="EH98" s="18" t="n"/>
      <c r="EI98" s="18" t="n"/>
      <c r="EJ98" s="18" t="n"/>
      <c r="EK98" s="18" t="n"/>
      <c r="EL98" s="18" t="n"/>
      <c r="EM98" s="16" t="n"/>
      <c r="EN98" s="16" t="n"/>
      <c r="EO98" s="16" t="n"/>
      <c r="EP98" s="16" t="n"/>
      <c r="EQ98" s="16" t="n"/>
      <c r="ER98" s="16" t="n"/>
      <c r="ES98" s="16" t="n"/>
      <c r="ET98" s="16" t="n"/>
      <c r="EU98" s="16" t="n"/>
      <c r="EV98" s="16" t="n"/>
    </row>
    <row r="99">
      <c r="B99" s="1" t="n">
        <v>2026</v>
      </c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8" t="n"/>
      <c r="BB99" s="18" t="n"/>
      <c r="BC99" s="18" t="n"/>
      <c r="BD99" s="18" t="n"/>
      <c r="BE99" s="18" t="n"/>
      <c r="BF99" s="18" t="n"/>
      <c r="BG99" s="18" t="n"/>
      <c r="BH99" s="18" t="n"/>
      <c r="BI99" s="18" t="n"/>
      <c r="BJ99" s="18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6" t="n"/>
      <c r="BT99" s="16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6" t="n"/>
      <c r="CF99" s="16" t="n"/>
      <c r="CG99" s="16" t="n"/>
      <c r="CH99" s="16" t="n"/>
      <c r="CI99" s="16" t="n"/>
      <c r="CJ99" s="16" t="n"/>
      <c r="CK99" s="16" t="n"/>
      <c r="CL99" s="16" t="n"/>
      <c r="CM99" s="16" t="n"/>
      <c r="CN99" s="16" t="n"/>
      <c r="CO99" s="18" t="n"/>
      <c r="CP99" s="18" t="n"/>
      <c r="CQ99" s="18" t="n"/>
      <c r="CR99" s="18" t="n"/>
      <c r="CS99" s="18" t="n"/>
      <c r="CT99" s="18" t="n"/>
      <c r="CU99" s="18" t="n"/>
      <c r="CV99" s="18" t="n"/>
      <c r="CW99" s="18" t="n"/>
      <c r="CX99" s="18" t="n"/>
      <c r="CY99" s="16" t="n"/>
      <c r="CZ99" s="16" t="n"/>
      <c r="DA99" s="16" t="n"/>
      <c r="DB99" s="16" t="n"/>
      <c r="DC99" s="16" t="n"/>
      <c r="DD99" s="16" t="n"/>
      <c r="DE99" s="16" t="n"/>
      <c r="DF99" s="16" t="n"/>
      <c r="DG99" s="16" t="n"/>
      <c r="DH99" s="16" t="n"/>
      <c r="DI99" s="18" t="n"/>
      <c r="DJ99" s="18" t="n"/>
      <c r="DK99" s="18" t="n"/>
      <c r="DL99" s="18" t="n"/>
      <c r="DM99" s="18" t="n"/>
      <c r="DN99" s="18" t="n"/>
      <c r="DO99" s="18" t="n"/>
      <c r="DP99" s="18" t="n"/>
      <c r="DQ99" s="18" t="n"/>
      <c r="DR99" s="18" t="n"/>
      <c r="DS99" s="16" t="n"/>
      <c r="DT99" s="16" t="n"/>
      <c r="DU99" s="16" t="n"/>
      <c r="DV99" s="16" t="n"/>
      <c r="DW99" s="16" t="n"/>
      <c r="DX99" s="16" t="n"/>
      <c r="DY99" s="16" t="n"/>
      <c r="DZ99" s="16" t="n"/>
      <c r="EA99" s="16" t="n"/>
      <c r="EB99" s="16" t="n"/>
      <c r="EC99" s="18" t="n"/>
      <c r="ED99" s="18" t="n"/>
      <c r="EE99" s="18" t="n"/>
      <c r="EF99" s="18" t="n"/>
      <c r="EG99" s="18" t="n"/>
      <c r="EH99" s="18" t="n"/>
      <c r="EI99" s="18" t="n"/>
      <c r="EJ99" s="18" t="n"/>
      <c r="EK99" s="18" t="n"/>
      <c r="EL99" s="18" t="n"/>
      <c r="EM99" s="16" t="n"/>
      <c r="EN99" s="16" t="n"/>
      <c r="EO99" s="16" t="n"/>
      <c r="EP99" s="16" t="n"/>
      <c r="EQ99" s="16" t="n"/>
      <c r="ER99" s="16" t="n"/>
      <c r="ES99" s="16" t="n"/>
      <c r="ET99" s="16" t="n"/>
      <c r="EU99" s="16" t="n"/>
      <c r="EV99" s="16" t="n"/>
    </row>
    <row r="100">
      <c r="B100" s="1" t="n">
        <v>2027</v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8" t="n"/>
      <c r="BB100" s="18" t="n"/>
      <c r="BC100" s="18" t="n"/>
      <c r="BD100" s="18" t="n"/>
      <c r="BE100" s="18" t="n"/>
      <c r="BF100" s="18" t="n"/>
      <c r="BG100" s="18" t="n"/>
      <c r="BH100" s="18" t="n"/>
      <c r="BI100" s="18" t="n"/>
      <c r="BJ100" s="18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6" t="n"/>
      <c r="BT100" s="16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6" t="n"/>
      <c r="CF100" s="16" t="n"/>
      <c r="CG100" s="16" t="n"/>
      <c r="CH100" s="16" t="n"/>
      <c r="CI100" s="16" t="n"/>
      <c r="CJ100" s="16" t="n"/>
      <c r="CK100" s="16" t="n"/>
      <c r="CL100" s="16" t="n"/>
      <c r="CM100" s="16" t="n"/>
      <c r="CN100" s="16" t="n"/>
      <c r="CO100" s="18" t="n"/>
      <c r="CP100" s="18" t="n"/>
      <c r="CQ100" s="18" t="n"/>
      <c r="CR100" s="18" t="n"/>
      <c r="CS100" s="18" t="n"/>
      <c r="CT100" s="18" t="n"/>
      <c r="CU100" s="18" t="n"/>
      <c r="CV100" s="18" t="n"/>
      <c r="CW100" s="18" t="n"/>
      <c r="CX100" s="18" t="n"/>
      <c r="CY100" s="16" t="n"/>
      <c r="CZ100" s="16" t="n"/>
      <c r="DA100" s="16" t="n"/>
      <c r="DB100" s="16" t="n"/>
      <c r="DC100" s="16" t="n"/>
      <c r="DD100" s="16" t="n"/>
      <c r="DE100" s="16" t="n"/>
      <c r="DF100" s="16" t="n"/>
      <c r="DG100" s="16" t="n"/>
      <c r="DH100" s="16" t="n"/>
      <c r="DI100" s="18" t="n"/>
      <c r="DJ100" s="18" t="n"/>
      <c r="DK100" s="18" t="n"/>
      <c r="DL100" s="18" t="n"/>
      <c r="DM100" s="18" t="n"/>
      <c r="DN100" s="18" t="n"/>
      <c r="DO100" s="18" t="n"/>
      <c r="DP100" s="18" t="n"/>
      <c r="DQ100" s="18" t="n"/>
      <c r="DR100" s="18" t="n"/>
      <c r="DS100" s="16" t="n"/>
      <c r="DT100" s="16" t="n"/>
      <c r="DU100" s="16" t="n"/>
      <c r="DV100" s="16" t="n"/>
      <c r="DW100" s="16" t="n"/>
      <c r="DX100" s="16" t="n"/>
      <c r="DY100" s="16" t="n"/>
      <c r="DZ100" s="16" t="n"/>
      <c r="EA100" s="16" t="n"/>
      <c r="EB100" s="16" t="n"/>
      <c r="EC100" s="18" t="n"/>
      <c r="ED100" s="18" t="n"/>
      <c r="EE100" s="18" t="n"/>
      <c r="EF100" s="18" t="n"/>
      <c r="EG100" s="18" t="n"/>
      <c r="EH100" s="18" t="n"/>
      <c r="EI100" s="18" t="n"/>
      <c r="EJ100" s="18" t="n"/>
      <c r="EK100" s="18" t="n"/>
      <c r="EL100" s="18" t="n"/>
      <c r="EM100" s="16" t="n"/>
      <c r="EN100" s="16" t="n"/>
      <c r="EO100" s="16" t="n"/>
      <c r="EP100" s="16" t="n"/>
      <c r="EQ100" s="16" t="n"/>
      <c r="ER100" s="16" t="n"/>
      <c r="ES100" s="16" t="n"/>
      <c r="ET100" s="16" t="n"/>
      <c r="EU100" s="16" t="n"/>
      <c r="EV100" s="16" t="n"/>
    </row>
    <row r="101">
      <c r="B101" s="1" t="n">
        <v>2028</v>
      </c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8" t="n"/>
      <c r="BB101" s="18" t="n"/>
      <c r="BC101" s="18" t="n"/>
      <c r="BD101" s="18" t="n"/>
      <c r="BE101" s="18" t="n"/>
      <c r="BF101" s="18" t="n"/>
      <c r="BG101" s="18" t="n"/>
      <c r="BH101" s="18" t="n"/>
      <c r="BI101" s="18" t="n"/>
      <c r="BJ101" s="18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6" t="n"/>
      <c r="BT101" s="16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6" t="n"/>
      <c r="CF101" s="16" t="n"/>
      <c r="CG101" s="16" t="n"/>
      <c r="CH101" s="16" t="n"/>
      <c r="CI101" s="16" t="n"/>
      <c r="CJ101" s="16" t="n"/>
      <c r="CK101" s="16" t="n"/>
      <c r="CL101" s="16" t="n"/>
      <c r="CM101" s="16" t="n"/>
      <c r="CN101" s="16" t="n"/>
      <c r="CO101" s="18" t="n"/>
      <c r="CP101" s="18" t="n"/>
      <c r="CQ101" s="18" t="n"/>
      <c r="CR101" s="18" t="n"/>
      <c r="CS101" s="18" t="n"/>
      <c r="CT101" s="18" t="n"/>
      <c r="CU101" s="18" t="n"/>
      <c r="CV101" s="18" t="n"/>
      <c r="CW101" s="18" t="n"/>
      <c r="CX101" s="18" t="n"/>
      <c r="CY101" s="16" t="n"/>
      <c r="CZ101" s="16" t="n"/>
      <c r="DA101" s="16" t="n"/>
      <c r="DB101" s="16" t="n"/>
      <c r="DC101" s="16" t="n"/>
      <c r="DD101" s="16" t="n"/>
      <c r="DE101" s="16" t="n"/>
      <c r="DF101" s="16" t="n"/>
      <c r="DG101" s="16" t="n"/>
      <c r="DH101" s="16" t="n"/>
      <c r="DI101" s="18" t="n"/>
      <c r="DJ101" s="18" t="n"/>
      <c r="DK101" s="18" t="n"/>
      <c r="DL101" s="18" t="n"/>
      <c r="DM101" s="18" t="n"/>
      <c r="DN101" s="18" t="n"/>
      <c r="DO101" s="18" t="n"/>
      <c r="DP101" s="18" t="n"/>
      <c r="DQ101" s="18" t="n"/>
      <c r="DR101" s="18" t="n"/>
      <c r="DS101" s="16" t="n"/>
      <c r="DT101" s="16" t="n"/>
      <c r="DU101" s="16" t="n"/>
      <c r="DV101" s="16" t="n"/>
      <c r="DW101" s="16" t="n"/>
      <c r="DX101" s="16" t="n"/>
      <c r="DY101" s="16" t="n"/>
      <c r="DZ101" s="16" t="n"/>
      <c r="EA101" s="16" t="n"/>
      <c r="EB101" s="16" t="n"/>
      <c r="EC101" s="18" t="n"/>
      <c r="ED101" s="18" t="n"/>
      <c r="EE101" s="18" t="n"/>
      <c r="EF101" s="18" t="n"/>
      <c r="EG101" s="18" t="n"/>
      <c r="EH101" s="18" t="n"/>
      <c r="EI101" s="18" t="n"/>
      <c r="EJ101" s="18" t="n"/>
      <c r="EK101" s="18" t="n"/>
      <c r="EL101" s="18" t="n"/>
      <c r="EM101" s="16" t="n"/>
      <c r="EN101" s="16" t="n"/>
      <c r="EO101" s="16" t="n"/>
      <c r="EP101" s="16" t="n"/>
      <c r="EQ101" s="16" t="n"/>
      <c r="ER101" s="16" t="n"/>
      <c r="ES101" s="16" t="n"/>
      <c r="ET101" s="16" t="n"/>
      <c r="EU101" s="16" t="n"/>
      <c r="EV101" s="16" t="n"/>
    </row>
    <row r="102">
      <c r="B102" s="1" t="n">
        <v>2029</v>
      </c>
      <c r="C102" s="16" t="n">
        <v>1000</v>
      </c>
      <c r="D102" s="16" t="n">
        <v>1000</v>
      </c>
      <c r="E102" s="16" t="n">
        <v>1000</v>
      </c>
      <c r="F102" s="16" t="n">
        <v>1000</v>
      </c>
      <c r="G102" s="16" t="n"/>
      <c r="H102" s="16" t="n"/>
      <c r="I102" s="16" t="n"/>
      <c r="J102" s="16" t="n"/>
      <c r="K102" s="16" t="n"/>
      <c r="L102" s="16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8" t="n"/>
      <c r="BB102" s="18" t="n"/>
      <c r="BC102" s="18" t="n"/>
      <c r="BD102" s="18" t="n"/>
      <c r="BE102" s="18" t="n"/>
      <c r="BF102" s="18" t="n"/>
      <c r="BG102" s="18" t="n"/>
      <c r="BH102" s="18" t="n"/>
      <c r="BI102" s="18" t="n"/>
      <c r="BJ102" s="18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6" t="n"/>
      <c r="BT102" s="16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6" t="n"/>
      <c r="CF102" s="16" t="n"/>
      <c r="CG102" s="16" t="n"/>
      <c r="CH102" s="16" t="n"/>
      <c r="CI102" s="16" t="n"/>
      <c r="CJ102" s="16" t="n"/>
      <c r="CK102" s="16" t="n"/>
      <c r="CL102" s="16" t="n"/>
      <c r="CM102" s="16" t="n"/>
      <c r="CN102" s="16" t="n"/>
      <c r="CO102" s="18" t="n"/>
      <c r="CP102" s="18" t="n"/>
      <c r="CQ102" s="18" t="n"/>
      <c r="CR102" s="18" t="n"/>
      <c r="CS102" s="18" t="n"/>
      <c r="CT102" s="18" t="n"/>
      <c r="CU102" s="18" t="n"/>
      <c r="CV102" s="18" t="n"/>
      <c r="CW102" s="18" t="n"/>
      <c r="CX102" s="18" t="n"/>
      <c r="CY102" s="16" t="n"/>
      <c r="CZ102" s="16" t="n"/>
      <c r="DA102" s="16" t="n"/>
      <c r="DB102" s="16" t="n"/>
      <c r="DC102" s="16" t="n"/>
      <c r="DD102" s="16" t="n"/>
      <c r="DE102" s="16" t="n"/>
      <c r="DF102" s="16" t="n"/>
      <c r="DG102" s="16" t="n"/>
      <c r="DH102" s="16" t="n"/>
      <c r="DI102" s="18" t="n"/>
      <c r="DJ102" s="18" t="n"/>
      <c r="DK102" s="18" t="n"/>
      <c r="DL102" s="18" t="n"/>
      <c r="DM102" s="18" t="n"/>
      <c r="DN102" s="18" t="n"/>
      <c r="DO102" s="18" t="n"/>
      <c r="DP102" s="18" t="n"/>
      <c r="DQ102" s="18" t="n"/>
      <c r="DR102" s="18" t="n"/>
      <c r="DS102" s="16" t="n"/>
      <c r="DT102" s="16" t="n"/>
      <c r="DU102" s="16" t="n"/>
      <c r="DV102" s="16" t="n"/>
      <c r="DW102" s="16" t="n"/>
      <c r="DX102" s="16" t="n"/>
      <c r="DY102" s="16" t="n"/>
      <c r="DZ102" s="16" t="n"/>
      <c r="EA102" s="16" t="n"/>
      <c r="EB102" s="16" t="n"/>
      <c r="EC102" s="18" t="n"/>
      <c r="ED102" s="18" t="n"/>
      <c r="EE102" s="18" t="n"/>
      <c r="EF102" s="18" t="n"/>
      <c r="EG102" s="18" t="n"/>
      <c r="EH102" s="18" t="n"/>
      <c r="EI102" s="18" t="n"/>
      <c r="EJ102" s="18" t="n"/>
      <c r="EK102" s="18" t="n"/>
      <c r="EL102" s="18" t="n"/>
      <c r="EM102" s="16" t="n"/>
      <c r="EN102" s="16" t="n"/>
      <c r="EO102" s="16" t="n"/>
      <c r="EP102" s="16" t="n"/>
      <c r="EQ102" s="16" t="n"/>
      <c r="ER102" s="16" t="n"/>
      <c r="ES102" s="16" t="n"/>
      <c r="ET102" s="16" t="n"/>
      <c r="EU102" s="16" t="n"/>
      <c r="EV102" s="16" t="n"/>
    </row>
    <row r="103">
      <c r="B103" s="1" t="n">
        <v>2030</v>
      </c>
      <c r="C103" s="16" t="n">
        <v>35498</v>
      </c>
      <c r="D103" s="16" t="n">
        <v>141992</v>
      </c>
      <c r="E103" s="16" t="n">
        <v>35498</v>
      </c>
      <c r="F103" s="16" t="n">
        <v>35498</v>
      </c>
      <c r="G103" s="16" t="n"/>
      <c r="H103" s="16" t="n"/>
      <c r="I103" s="16" t="n"/>
      <c r="J103" s="16" t="n"/>
      <c r="K103" s="16" t="n"/>
      <c r="L103" s="16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8" t="n"/>
      <c r="BB103" s="18" t="n"/>
      <c r="BC103" s="18" t="n"/>
      <c r="BD103" s="18" t="n"/>
      <c r="BE103" s="18" t="n"/>
      <c r="BF103" s="18" t="n"/>
      <c r="BG103" s="18" t="n"/>
      <c r="BH103" s="18" t="n"/>
      <c r="BI103" s="18" t="n"/>
      <c r="BJ103" s="18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6" t="n"/>
      <c r="BT103" s="16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6" t="n"/>
      <c r="CF103" s="16" t="n"/>
      <c r="CG103" s="16" t="n"/>
      <c r="CH103" s="16" t="n"/>
      <c r="CI103" s="16" t="n"/>
      <c r="CJ103" s="16" t="n"/>
      <c r="CK103" s="16" t="n"/>
      <c r="CL103" s="16" t="n"/>
      <c r="CM103" s="16" t="n"/>
      <c r="CN103" s="16" t="n"/>
      <c r="CO103" s="18" t="n"/>
      <c r="CP103" s="18" t="n"/>
      <c r="CQ103" s="18" t="n"/>
      <c r="CR103" s="18" t="n"/>
      <c r="CS103" s="18" t="n"/>
      <c r="CT103" s="18" t="n"/>
      <c r="CU103" s="18" t="n"/>
      <c r="CV103" s="18" t="n"/>
      <c r="CW103" s="18" t="n"/>
      <c r="CX103" s="18" t="n"/>
      <c r="CY103" s="16" t="n"/>
      <c r="CZ103" s="16" t="n"/>
      <c r="DA103" s="16" t="n"/>
      <c r="DB103" s="16" t="n"/>
      <c r="DC103" s="16" t="n"/>
      <c r="DD103" s="16" t="n"/>
      <c r="DE103" s="16" t="n"/>
      <c r="DF103" s="16" t="n"/>
      <c r="DG103" s="16" t="n"/>
      <c r="DH103" s="16" t="n"/>
      <c r="DI103" s="18" t="n"/>
      <c r="DJ103" s="18" t="n"/>
      <c r="DK103" s="18" t="n"/>
      <c r="DL103" s="18" t="n"/>
      <c r="DM103" s="18" t="n"/>
      <c r="DN103" s="18" t="n"/>
      <c r="DO103" s="18" t="n"/>
      <c r="DP103" s="18" t="n"/>
      <c r="DQ103" s="18" t="n"/>
      <c r="DR103" s="18" t="n"/>
      <c r="DS103" s="16" t="n"/>
      <c r="DT103" s="16" t="n"/>
      <c r="DU103" s="16" t="n"/>
      <c r="DV103" s="16" t="n"/>
      <c r="DW103" s="16" t="n"/>
      <c r="DX103" s="16" t="n"/>
      <c r="DY103" s="16" t="n"/>
      <c r="DZ103" s="16" t="n"/>
      <c r="EA103" s="16" t="n"/>
      <c r="EB103" s="16" t="n"/>
      <c r="EC103" s="18" t="n"/>
      <c r="ED103" s="18" t="n"/>
      <c r="EE103" s="18" t="n"/>
      <c r="EF103" s="18" t="n"/>
      <c r="EG103" s="18" t="n"/>
      <c r="EH103" s="18" t="n"/>
      <c r="EI103" s="18" t="n"/>
      <c r="EJ103" s="18" t="n"/>
      <c r="EK103" s="18" t="n"/>
      <c r="EL103" s="18" t="n"/>
      <c r="EM103" s="16" t="n"/>
      <c r="EN103" s="16" t="n"/>
      <c r="EO103" s="16" t="n"/>
      <c r="EP103" s="16" t="n"/>
      <c r="EQ103" s="16" t="n"/>
      <c r="ER103" s="16" t="n"/>
      <c r="ES103" s="16" t="n"/>
      <c r="ET103" s="16" t="n"/>
      <c r="EU103" s="16" t="n"/>
      <c r="EV103" s="16" t="n"/>
    </row>
    <row r="104">
      <c r="B104" s="1" t="n">
        <v>2031</v>
      </c>
      <c r="C104" s="16" t="n">
        <v>372560</v>
      </c>
      <c r="D104" s="16" t="n">
        <v>468624</v>
      </c>
      <c r="E104" s="16" t="n">
        <v>372560</v>
      </c>
      <c r="F104" s="16" t="n">
        <v>372560</v>
      </c>
      <c r="G104" s="16" t="n"/>
      <c r="H104" s="16" t="n"/>
      <c r="I104" s="16" t="n"/>
      <c r="J104" s="16" t="n"/>
      <c r="K104" s="16" t="n"/>
      <c r="L104" s="16" t="n"/>
      <c r="M104" s="18" t="n"/>
      <c r="N104" s="18" t="n">
        <v>1021614</v>
      </c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8" t="n"/>
      <c r="BB104" s="18" t="n"/>
      <c r="BC104" s="18" t="n"/>
      <c r="BD104" s="18" t="n"/>
      <c r="BE104" s="18" t="n"/>
      <c r="BF104" s="18" t="n"/>
      <c r="BG104" s="18" t="n"/>
      <c r="BH104" s="18" t="n"/>
      <c r="BI104" s="18" t="n"/>
      <c r="BJ104" s="18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6" t="n"/>
      <c r="BT104" s="16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6" t="n"/>
      <c r="CF104" s="16" t="n"/>
      <c r="CG104" s="16" t="n"/>
      <c r="CH104" s="16" t="n"/>
      <c r="CI104" s="16" t="n"/>
      <c r="CJ104" s="16" t="n"/>
      <c r="CK104" s="16" t="n"/>
      <c r="CL104" s="16" t="n"/>
      <c r="CM104" s="16" t="n"/>
      <c r="CN104" s="16" t="n"/>
      <c r="CO104" s="18" t="n"/>
      <c r="CP104" s="18" t="n"/>
      <c r="CQ104" s="18" t="n"/>
      <c r="CR104" s="18" t="n"/>
      <c r="CS104" s="18" t="n"/>
      <c r="CT104" s="18" t="n"/>
      <c r="CU104" s="18" t="n"/>
      <c r="CV104" s="18" t="n"/>
      <c r="CW104" s="18" t="n"/>
      <c r="CX104" s="18" t="n"/>
      <c r="CY104" s="16" t="n"/>
      <c r="CZ104" s="16" t="n"/>
      <c r="DA104" s="16" t="n"/>
      <c r="DB104" s="16" t="n"/>
      <c r="DC104" s="16" t="n"/>
      <c r="DD104" s="16" t="n"/>
      <c r="DE104" s="16" t="n"/>
      <c r="DF104" s="16" t="n"/>
      <c r="DG104" s="16" t="n"/>
      <c r="DH104" s="16" t="n"/>
      <c r="DI104" s="18" t="n"/>
      <c r="DJ104" s="18" t="n"/>
      <c r="DK104" s="18" t="n"/>
      <c r="DL104" s="18" t="n"/>
      <c r="DM104" s="18" t="n"/>
      <c r="DN104" s="18" t="n"/>
      <c r="DO104" s="18" t="n"/>
      <c r="DP104" s="18" t="n"/>
      <c r="DQ104" s="18" t="n"/>
      <c r="DR104" s="18" t="n"/>
      <c r="DS104" s="16" t="n"/>
      <c r="DT104" s="16" t="n"/>
      <c r="DU104" s="16" t="n"/>
      <c r="DV104" s="16" t="n"/>
      <c r="DW104" s="16" t="n"/>
      <c r="DX104" s="16" t="n"/>
      <c r="DY104" s="16" t="n"/>
      <c r="DZ104" s="16" t="n"/>
      <c r="EA104" s="16" t="n"/>
      <c r="EB104" s="16" t="n"/>
      <c r="EC104" s="18" t="n"/>
      <c r="ED104" s="18" t="n"/>
      <c r="EE104" s="18" t="n"/>
      <c r="EF104" s="18" t="n"/>
      <c r="EG104" s="18" t="n"/>
      <c r="EH104" s="18" t="n"/>
      <c r="EI104" s="18" t="n"/>
      <c r="EJ104" s="18" t="n"/>
      <c r="EK104" s="18" t="n"/>
      <c r="EL104" s="18" t="n"/>
      <c r="EM104" s="16" t="n"/>
      <c r="EN104" s="16" t="n"/>
      <c r="EO104" s="16" t="n"/>
      <c r="EP104" s="16" t="n"/>
      <c r="EQ104" s="16" t="n"/>
      <c r="ER104" s="16" t="n"/>
      <c r="ES104" s="16" t="n"/>
      <c r="ET104" s="16" t="n"/>
      <c r="EU104" s="16" t="n"/>
      <c r="EV104" s="16" t="n"/>
    </row>
    <row r="105">
      <c r="B105" s="1" t="n">
        <v>2032</v>
      </c>
      <c r="C105" s="16" t="n">
        <v>226614</v>
      </c>
      <c r="D105" s="16" t="n">
        <v>906459</v>
      </c>
      <c r="E105" s="16" t="n">
        <v>226614</v>
      </c>
      <c r="F105" s="16" t="n">
        <v>226614</v>
      </c>
      <c r="G105" s="16" t="n"/>
      <c r="H105" s="16" t="n"/>
      <c r="I105" s="16" t="n"/>
      <c r="J105" s="16" t="n"/>
      <c r="K105" s="16" t="n"/>
      <c r="L105" s="16" t="n"/>
      <c r="M105" s="18" t="n">
        <v>303149</v>
      </c>
      <c r="N105" s="18" t="n">
        <v>1212591</v>
      </c>
      <c r="O105" s="18" t="n">
        <v>70564</v>
      </c>
      <c r="P105" s="18" t="n"/>
      <c r="Q105" s="18" t="n"/>
      <c r="R105" s="18" t="n"/>
      <c r="S105" s="18" t="n"/>
      <c r="T105" s="18" t="n"/>
      <c r="U105" s="18" t="n"/>
      <c r="V105" s="18" t="n"/>
      <c r="W105" s="16" t="n"/>
      <c r="X105" s="16" t="n"/>
      <c r="Y105" s="16" t="n">
        <v>232585</v>
      </c>
      <c r="Z105" s="16" t="n">
        <v>303149</v>
      </c>
      <c r="AA105" s="16" t="n"/>
      <c r="AB105" s="16" t="n"/>
      <c r="AC105" s="16" t="n"/>
      <c r="AD105" s="16" t="n"/>
      <c r="AE105" s="16" t="n"/>
      <c r="AF105" s="16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8" t="n"/>
      <c r="BB105" s="18" t="n"/>
      <c r="BC105" s="18" t="n"/>
      <c r="BD105" s="18" t="n"/>
      <c r="BE105" s="18" t="n"/>
      <c r="BF105" s="18" t="n"/>
      <c r="BG105" s="18" t="n"/>
      <c r="BH105" s="18" t="n"/>
      <c r="BI105" s="18" t="n"/>
      <c r="BJ105" s="18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6" t="n"/>
      <c r="BT105" s="16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6" t="n"/>
      <c r="CF105" s="16" t="n"/>
      <c r="CG105" s="16" t="n"/>
      <c r="CH105" s="16" t="n"/>
      <c r="CI105" s="16" t="n"/>
      <c r="CJ105" s="16" t="n"/>
      <c r="CK105" s="16" t="n"/>
      <c r="CL105" s="16" t="n"/>
      <c r="CM105" s="16" t="n"/>
      <c r="CN105" s="16" t="n"/>
      <c r="CO105" s="18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6" t="n"/>
      <c r="CZ105" s="16" t="n"/>
      <c r="DA105" s="16" t="n"/>
      <c r="DB105" s="16" t="n"/>
      <c r="DC105" s="16" t="n"/>
      <c r="DD105" s="16" t="n"/>
      <c r="DE105" s="16" t="n"/>
      <c r="DF105" s="16" t="n"/>
      <c r="DG105" s="16" t="n"/>
      <c r="DH105" s="16" t="n"/>
      <c r="DI105" s="18" t="n"/>
      <c r="DJ105" s="18" t="n"/>
      <c r="DK105" s="18" t="n"/>
      <c r="DL105" s="18" t="n"/>
      <c r="DM105" s="18" t="n"/>
      <c r="DN105" s="18" t="n"/>
      <c r="DO105" s="18" t="n"/>
      <c r="DP105" s="18" t="n"/>
      <c r="DQ105" s="18" t="n"/>
      <c r="DR105" s="18" t="n"/>
      <c r="DS105" s="16" t="n"/>
      <c r="DT105" s="16" t="n"/>
      <c r="DU105" s="16" t="n"/>
      <c r="DV105" s="16" t="n"/>
      <c r="DW105" s="16" t="n"/>
      <c r="DX105" s="16" t="n"/>
      <c r="DY105" s="16" t="n"/>
      <c r="DZ105" s="16" t="n"/>
      <c r="EA105" s="16" t="n"/>
      <c r="EB105" s="16" t="n"/>
      <c r="EC105" s="18" t="n"/>
      <c r="ED105" s="18" t="n"/>
      <c r="EE105" s="18" t="n"/>
      <c r="EF105" s="18" t="n"/>
      <c r="EG105" s="18" t="n"/>
      <c r="EH105" s="18" t="n"/>
      <c r="EI105" s="18" t="n"/>
      <c r="EJ105" s="18" t="n"/>
      <c r="EK105" s="18" t="n"/>
      <c r="EL105" s="18" t="n"/>
      <c r="EM105" s="16" t="n"/>
      <c r="EN105" s="16" t="n"/>
      <c r="EO105" s="16" t="n"/>
      <c r="EP105" s="16" t="n"/>
      <c r="EQ105" s="16" t="n"/>
      <c r="ER105" s="16" t="n"/>
      <c r="ES105" s="16" t="n"/>
      <c r="ET105" s="16" t="n"/>
      <c r="EU105" s="16" t="n"/>
      <c r="EV105" s="16" t="n"/>
    </row>
    <row r="106">
      <c r="B106" s="1" t="n">
        <v>2033</v>
      </c>
      <c r="C106" s="16" t="n">
        <v>226614</v>
      </c>
      <c r="D106" s="16" t="n">
        <v>906459</v>
      </c>
      <c r="E106" s="16" t="n">
        <v>226614</v>
      </c>
      <c r="F106" s="16" t="n">
        <v>226614</v>
      </c>
      <c r="G106" s="16" t="n"/>
      <c r="H106" s="16" t="n"/>
      <c r="I106" s="16" t="n"/>
      <c r="J106" s="16" t="n"/>
      <c r="K106" s="16" t="n"/>
      <c r="L106" s="16" t="n"/>
      <c r="M106" s="18" t="n"/>
      <c r="N106" s="18" t="n">
        <v>1586304</v>
      </c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6" t="n">
        <v>466563</v>
      </c>
      <c r="X106" s="16" t="n">
        <v>186615</v>
      </c>
      <c r="Y106" s="16" t="n">
        <v>466563</v>
      </c>
      <c r="Z106" s="16" t="n">
        <v>466563</v>
      </c>
      <c r="AA106" s="16" t="n"/>
      <c r="AB106" s="16" t="n"/>
      <c r="AC106" s="16" t="n"/>
      <c r="AD106" s="16" t="n"/>
      <c r="AE106" s="16" t="n"/>
      <c r="AF106" s="16" t="n"/>
      <c r="AG106" s="18" t="n"/>
      <c r="AH106" s="18" t="n">
        <v>93330</v>
      </c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8" t="n"/>
      <c r="BB106" s="18" t="n"/>
      <c r="BC106" s="18" t="n"/>
      <c r="BD106" s="18" t="n"/>
      <c r="BE106" s="18" t="n"/>
      <c r="BF106" s="18" t="n"/>
      <c r="BG106" s="18" t="n"/>
      <c r="BH106" s="18" t="n"/>
      <c r="BI106" s="18" t="n"/>
      <c r="BJ106" s="18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6" t="n"/>
      <c r="BT106" s="16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6" t="n"/>
      <c r="CF106" s="16" t="n"/>
      <c r="CG106" s="16" t="n"/>
      <c r="CH106" s="16" t="n"/>
      <c r="CI106" s="16" t="n"/>
      <c r="CJ106" s="16" t="n"/>
      <c r="CK106" s="16" t="n"/>
      <c r="CL106" s="16" t="n"/>
      <c r="CM106" s="16" t="n"/>
      <c r="CN106" s="16" t="n"/>
      <c r="CO106" s="18" t="n"/>
      <c r="CP106" s="18" t="n"/>
      <c r="CQ106" s="18" t="n"/>
      <c r="CR106" s="18" t="n"/>
      <c r="CS106" s="18" t="n"/>
      <c r="CT106" s="18" t="n"/>
      <c r="CU106" s="18" t="n"/>
      <c r="CV106" s="18" t="n"/>
      <c r="CW106" s="18" t="n"/>
      <c r="CX106" s="18" t="n"/>
      <c r="CY106" s="16" t="n"/>
      <c r="CZ106" s="16" t="n"/>
      <c r="DA106" s="16" t="n"/>
      <c r="DB106" s="16" t="n"/>
      <c r="DC106" s="16" t="n"/>
      <c r="DD106" s="16" t="n"/>
      <c r="DE106" s="16" t="n"/>
      <c r="DF106" s="16" t="n"/>
      <c r="DG106" s="16" t="n"/>
      <c r="DH106" s="16" t="n"/>
      <c r="DI106" s="18" t="n"/>
      <c r="DJ106" s="18" t="n"/>
      <c r="DK106" s="18" t="n"/>
      <c r="DL106" s="18" t="n"/>
      <c r="DM106" s="18" t="n"/>
      <c r="DN106" s="18" t="n"/>
      <c r="DO106" s="18" t="n"/>
      <c r="DP106" s="18" t="n"/>
      <c r="DQ106" s="18" t="n"/>
      <c r="DR106" s="18" t="n"/>
      <c r="DS106" s="16" t="n"/>
      <c r="DT106" s="16" t="n"/>
      <c r="DU106" s="16" t="n"/>
      <c r="DV106" s="16" t="n"/>
      <c r="DW106" s="16" t="n"/>
      <c r="DX106" s="16" t="n"/>
      <c r="DY106" s="16" t="n"/>
      <c r="DZ106" s="16" t="n"/>
      <c r="EA106" s="16" t="n"/>
      <c r="EB106" s="16" t="n"/>
      <c r="EC106" s="18" t="n"/>
      <c r="ED106" s="18" t="n"/>
      <c r="EE106" s="18" t="n"/>
      <c r="EF106" s="18" t="n"/>
      <c r="EG106" s="18" t="n"/>
      <c r="EH106" s="18" t="n"/>
      <c r="EI106" s="18" t="n"/>
      <c r="EJ106" s="18" t="n"/>
      <c r="EK106" s="18" t="n"/>
      <c r="EL106" s="18" t="n"/>
      <c r="EM106" s="16" t="n"/>
      <c r="EN106" s="16" t="n"/>
      <c r="EO106" s="16" t="n"/>
      <c r="EP106" s="16" t="n"/>
      <c r="EQ106" s="16" t="n"/>
      <c r="ER106" s="16" t="n"/>
      <c r="ES106" s="16" t="n"/>
      <c r="ET106" s="16" t="n"/>
      <c r="EU106" s="16" t="n"/>
      <c r="EV106" s="16" t="n"/>
    </row>
    <row r="107">
      <c r="B107" s="1" t="n">
        <v>2034</v>
      </c>
      <c r="C107" s="16" t="n">
        <v>226614</v>
      </c>
      <c r="D107" s="16" t="n">
        <v>906459</v>
      </c>
      <c r="E107" s="16" t="n">
        <v>226614</v>
      </c>
      <c r="F107" s="16" t="n">
        <v>226614</v>
      </c>
      <c r="G107" s="16" t="n"/>
      <c r="H107" s="16" t="n"/>
      <c r="I107" s="16" t="n"/>
      <c r="J107" s="16" t="n"/>
      <c r="K107" s="16" t="n"/>
      <c r="L107" s="16" t="n"/>
      <c r="M107" s="18" t="n"/>
      <c r="N107" s="18" t="n">
        <v>1586304</v>
      </c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6" t="n">
        <v>72291</v>
      </c>
      <c r="X107" s="16" t="n">
        <v>1514013</v>
      </c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8" t="n">
        <v>36144</v>
      </c>
      <c r="AH107" s="18" t="n"/>
      <c r="AI107" s="18" t="n">
        <v>775080</v>
      </c>
      <c r="AJ107" s="18" t="n">
        <v>775080</v>
      </c>
      <c r="AK107" s="18" t="n"/>
      <c r="AL107" s="18" t="n"/>
      <c r="AM107" s="18" t="n"/>
      <c r="AN107" s="18" t="n"/>
      <c r="AO107" s="18" t="n"/>
      <c r="AP107" s="18" t="n"/>
      <c r="AQ107" s="16" t="n">
        <v>666645</v>
      </c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8" t="n"/>
      <c r="BB107" s="18" t="n"/>
      <c r="BC107" s="18" t="n"/>
      <c r="BD107" s="18" t="n"/>
      <c r="BE107" s="18" t="n"/>
      <c r="BF107" s="18" t="n"/>
      <c r="BG107" s="18" t="n"/>
      <c r="BH107" s="18" t="n"/>
      <c r="BI107" s="18" t="n"/>
      <c r="BJ107" s="18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6" t="n"/>
      <c r="BT107" s="16" t="n"/>
      <c r="BU107" s="18" t="n"/>
      <c r="BV107" s="18" t="n"/>
      <c r="BW107" s="18" t="n"/>
      <c r="BX107" s="18" t="n"/>
      <c r="BY107" s="18" t="n"/>
      <c r="BZ107" s="18" t="n"/>
      <c r="CA107" s="18" t="n"/>
      <c r="CB107" s="18" t="n"/>
      <c r="CC107" s="18" t="n"/>
      <c r="CD107" s="18" t="n"/>
      <c r="CE107" s="16" t="n"/>
      <c r="CF107" s="16" t="n"/>
      <c r="CG107" s="16" t="n"/>
      <c r="CH107" s="16" t="n"/>
      <c r="CI107" s="16" t="n"/>
      <c r="CJ107" s="16" t="n"/>
      <c r="CK107" s="16" t="n"/>
      <c r="CL107" s="16" t="n"/>
      <c r="CM107" s="16" t="n"/>
      <c r="CN107" s="16" t="n"/>
      <c r="CO107" s="18" t="n"/>
      <c r="CP107" s="18" t="n"/>
      <c r="CQ107" s="18" t="n"/>
      <c r="CR107" s="18" t="n"/>
      <c r="CS107" s="18" t="n"/>
      <c r="CT107" s="18" t="n"/>
      <c r="CU107" s="18" t="n"/>
      <c r="CV107" s="18" t="n"/>
      <c r="CW107" s="18" t="n"/>
      <c r="CX107" s="18" t="n"/>
      <c r="CY107" s="16" t="n"/>
      <c r="CZ107" s="16" t="n"/>
      <c r="DA107" s="16" t="n"/>
      <c r="DB107" s="16" t="n"/>
      <c r="DC107" s="16" t="n"/>
      <c r="DD107" s="16" t="n"/>
      <c r="DE107" s="16" t="n"/>
      <c r="DF107" s="16" t="n"/>
      <c r="DG107" s="16" t="n"/>
      <c r="DH107" s="16" t="n"/>
      <c r="DI107" s="18" t="n"/>
      <c r="DJ107" s="18" t="n"/>
      <c r="DK107" s="18" t="n"/>
      <c r="DL107" s="18" t="n"/>
      <c r="DM107" s="18" t="n"/>
      <c r="DN107" s="18" t="n"/>
      <c r="DO107" s="18" t="n"/>
      <c r="DP107" s="18" t="n"/>
      <c r="DQ107" s="18" t="n"/>
      <c r="DR107" s="18" t="n"/>
      <c r="DS107" s="16" t="n"/>
      <c r="DT107" s="16" t="n"/>
      <c r="DU107" s="16" t="n"/>
      <c r="DV107" s="16" t="n"/>
      <c r="DW107" s="16" t="n"/>
      <c r="DX107" s="16" t="n"/>
      <c r="DY107" s="16" t="n"/>
      <c r="DZ107" s="16" t="n"/>
      <c r="EA107" s="16" t="n"/>
      <c r="EB107" s="16" t="n"/>
      <c r="EC107" s="18" t="n"/>
      <c r="ED107" s="18" t="n"/>
      <c r="EE107" s="18" t="n"/>
      <c r="EF107" s="18" t="n"/>
      <c r="EG107" s="18" t="n"/>
      <c r="EH107" s="18" t="n"/>
      <c r="EI107" s="18" t="n"/>
      <c r="EJ107" s="18" t="n"/>
      <c r="EK107" s="18" t="n"/>
      <c r="EL107" s="18" t="n"/>
      <c r="EM107" s="16" t="n"/>
      <c r="EN107" s="16" t="n"/>
      <c r="EO107" s="16" t="n"/>
      <c r="EP107" s="16" t="n"/>
      <c r="EQ107" s="16" t="n"/>
      <c r="ER107" s="16" t="n"/>
      <c r="ES107" s="16" t="n"/>
      <c r="ET107" s="16" t="n"/>
      <c r="EU107" s="16" t="n"/>
      <c r="EV107" s="16" t="n"/>
    </row>
    <row r="108">
      <c r="B108" s="1" t="n">
        <v>2035</v>
      </c>
      <c r="C108" s="16" t="n">
        <v>226614</v>
      </c>
      <c r="D108" s="16" t="n">
        <v>906459</v>
      </c>
      <c r="E108" s="16" t="n">
        <v>226614</v>
      </c>
      <c r="F108" s="16" t="n">
        <v>226614</v>
      </c>
      <c r="G108" s="16" t="n"/>
      <c r="H108" s="16" t="n"/>
      <c r="I108" s="16" t="n"/>
      <c r="J108" s="16" t="n"/>
      <c r="K108" s="16" t="n"/>
      <c r="L108" s="16" t="n"/>
      <c r="M108" s="18" t="n"/>
      <c r="N108" s="18" t="n">
        <v>1586304</v>
      </c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6" t="n"/>
      <c r="X108" s="16" t="n">
        <v>1586304</v>
      </c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8" t="n">
        <v>310583</v>
      </c>
      <c r="AH108" s="18" t="n">
        <v>1275721</v>
      </c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6" t="n">
        <v>801500</v>
      </c>
      <c r="AR108" s="16" t="n"/>
      <c r="AS108" s="16" t="n">
        <v>784804</v>
      </c>
      <c r="AT108" s="16" t="n"/>
      <c r="AU108" s="16" t="n"/>
      <c r="AV108" s="16" t="n"/>
      <c r="AW108" s="16" t="n"/>
      <c r="AX108" s="16" t="n"/>
      <c r="AY108" s="16" t="n"/>
      <c r="AZ108" s="16" t="n"/>
      <c r="BA108" s="18" t="n"/>
      <c r="BB108" s="18" t="n"/>
      <c r="BC108" s="18" t="n">
        <v>327279</v>
      </c>
      <c r="BD108" s="18" t="n">
        <v>1112083</v>
      </c>
      <c r="BE108" s="18" t="n"/>
      <c r="BF108" s="18" t="n"/>
      <c r="BG108" s="18" t="n"/>
      <c r="BH108" s="18" t="n"/>
      <c r="BI108" s="18" t="n"/>
      <c r="BJ108" s="18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6" t="n"/>
      <c r="BT108" s="16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8" t="n"/>
      <c r="CE108" s="16" t="n"/>
      <c r="CF108" s="16" t="n"/>
      <c r="CG108" s="16" t="n"/>
      <c r="CH108" s="16" t="n"/>
      <c r="CI108" s="16" t="n"/>
      <c r="CJ108" s="16" t="n"/>
      <c r="CK108" s="16" t="n"/>
      <c r="CL108" s="16" t="n"/>
      <c r="CM108" s="16" t="n"/>
      <c r="CN108" s="16" t="n"/>
      <c r="CO108" s="18" t="n"/>
      <c r="CP108" s="18" t="n"/>
      <c r="CQ108" s="18" t="n"/>
      <c r="CR108" s="18" t="n"/>
      <c r="CS108" s="18" t="n"/>
      <c r="CT108" s="18" t="n"/>
      <c r="CU108" s="18" t="n"/>
      <c r="CV108" s="18" t="n"/>
      <c r="CW108" s="18" t="n"/>
      <c r="CX108" s="18" t="n"/>
      <c r="CY108" s="16" t="n"/>
      <c r="CZ108" s="16" t="n"/>
      <c r="DA108" s="16" t="n"/>
      <c r="DB108" s="16" t="n"/>
      <c r="DC108" s="16" t="n"/>
      <c r="DD108" s="16" t="n"/>
      <c r="DE108" s="16" t="n"/>
      <c r="DF108" s="16" t="n"/>
      <c r="DG108" s="16" t="n"/>
      <c r="DH108" s="16" t="n"/>
      <c r="DI108" s="18" t="n"/>
      <c r="DJ108" s="18" t="n"/>
      <c r="DK108" s="18" t="n"/>
      <c r="DL108" s="18" t="n"/>
      <c r="DM108" s="18" t="n"/>
      <c r="DN108" s="18" t="n"/>
      <c r="DO108" s="18" t="n"/>
      <c r="DP108" s="18" t="n"/>
      <c r="DQ108" s="18" t="n"/>
      <c r="DR108" s="18" t="n"/>
      <c r="DS108" s="16" t="n"/>
      <c r="DT108" s="16" t="n"/>
      <c r="DU108" s="16" t="n"/>
      <c r="DV108" s="16" t="n"/>
      <c r="DW108" s="16" t="n"/>
      <c r="DX108" s="16" t="n"/>
      <c r="DY108" s="16" t="n"/>
      <c r="DZ108" s="16" t="n"/>
      <c r="EA108" s="16" t="n"/>
      <c r="EB108" s="16" t="n"/>
      <c r="EC108" s="18" t="n"/>
      <c r="ED108" s="18" t="n"/>
      <c r="EE108" s="18" t="n"/>
      <c r="EF108" s="18" t="n"/>
      <c r="EG108" s="18" t="n"/>
      <c r="EH108" s="18" t="n"/>
      <c r="EI108" s="18" t="n"/>
      <c r="EJ108" s="18" t="n"/>
      <c r="EK108" s="18" t="n"/>
      <c r="EL108" s="18" t="n"/>
      <c r="EM108" s="16" t="n"/>
      <c r="EN108" s="16" t="n"/>
      <c r="EO108" s="16" t="n"/>
      <c r="EP108" s="16" t="n"/>
      <c r="EQ108" s="16" t="n"/>
      <c r="ER108" s="16" t="n"/>
      <c r="ES108" s="16" t="n"/>
      <c r="ET108" s="16" t="n"/>
      <c r="EU108" s="16" t="n"/>
      <c r="EV108" s="16" t="n"/>
    </row>
    <row r="109">
      <c r="B109" s="1" t="n">
        <v>2036</v>
      </c>
      <c r="C109" s="16" t="n">
        <v>220019</v>
      </c>
      <c r="D109" s="16" t="n">
        <v>926244</v>
      </c>
      <c r="E109" s="16" t="n">
        <v>220019</v>
      </c>
      <c r="F109" s="16" t="n">
        <v>220019</v>
      </c>
      <c r="G109" s="16" t="n"/>
      <c r="H109" s="16" t="n"/>
      <c r="I109" s="16" t="n"/>
      <c r="J109" s="16" t="n"/>
      <c r="K109" s="16" t="n"/>
      <c r="L109" s="16" t="n"/>
      <c r="M109" s="18" t="n"/>
      <c r="N109" s="18" t="n">
        <v>1586304</v>
      </c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6" t="n"/>
      <c r="X109" s="16" t="n">
        <v>1586304</v>
      </c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8" t="n">
        <v>267828</v>
      </c>
      <c r="AH109" s="18" t="n">
        <v>1318476</v>
      </c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6" t="n">
        <v>798985</v>
      </c>
      <c r="AR109" s="16" t="n"/>
      <c r="AS109" s="16" t="n">
        <v>787319</v>
      </c>
      <c r="AT109" s="16" t="n"/>
      <c r="AU109" s="16" t="n"/>
      <c r="AV109" s="16" t="n"/>
      <c r="AW109" s="16" t="n"/>
      <c r="AX109" s="16" t="n"/>
      <c r="AY109" s="16" t="n"/>
      <c r="AZ109" s="16" t="n"/>
      <c r="BA109" s="18" t="n"/>
      <c r="BB109" s="18" t="n"/>
      <c r="BC109" s="18" t="n">
        <v>279494</v>
      </c>
      <c r="BD109" s="18" t="n">
        <v>1066813</v>
      </c>
      <c r="BE109" s="18" t="n"/>
      <c r="BF109" s="18" t="n"/>
      <c r="BG109" s="18" t="n"/>
      <c r="BH109" s="18" t="n"/>
      <c r="BI109" s="18" t="n"/>
      <c r="BJ109" s="18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6" t="n"/>
      <c r="BT109" s="16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6" t="n"/>
      <c r="CF109" s="16" t="n"/>
      <c r="CG109" s="16" t="n"/>
      <c r="CH109" s="16" t="n"/>
      <c r="CI109" s="16" t="n"/>
      <c r="CJ109" s="16" t="n"/>
      <c r="CK109" s="16" t="n"/>
      <c r="CL109" s="16" t="n"/>
      <c r="CM109" s="16" t="n"/>
      <c r="CN109" s="16" t="n"/>
      <c r="CO109" s="18" t="n"/>
      <c r="CP109" s="18" t="n"/>
      <c r="CQ109" s="18" t="n"/>
      <c r="CR109" s="18" t="n"/>
      <c r="CS109" s="18" t="n"/>
      <c r="CT109" s="18" t="n"/>
      <c r="CU109" s="18" t="n"/>
      <c r="CV109" s="18" t="n"/>
      <c r="CW109" s="18" t="n"/>
      <c r="CX109" s="18" t="n"/>
      <c r="CY109" s="16" t="n"/>
      <c r="CZ109" s="16" t="n"/>
      <c r="DA109" s="16" t="n"/>
      <c r="DB109" s="16" t="n"/>
      <c r="DC109" s="16" t="n"/>
      <c r="DD109" s="16" t="n"/>
      <c r="DE109" s="16" t="n"/>
      <c r="DF109" s="16" t="n"/>
      <c r="DG109" s="16" t="n"/>
      <c r="DH109" s="16" t="n"/>
      <c r="DI109" s="18" t="n"/>
      <c r="DJ109" s="18" t="n"/>
      <c r="DK109" s="18" t="n"/>
      <c r="DL109" s="18" t="n"/>
      <c r="DM109" s="18" t="n"/>
      <c r="DN109" s="18" t="n"/>
      <c r="DO109" s="18" t="n"/>
      <c r="DP109" s="18" t="n"/>
      <c r="DQ109" s="18" t="n"/>
      <c r="DR109" s="18" t="n"/>
      <c r="DS109" s="16" t="n"/>
      <c r="DT109" s="16" t="n"/>
      <c r="DU109" s="16" t="n"/>
      <c r="DV109" s="16" t="n"/>
      <c r="DW109" s="16" t="n"/>
      <c r="DX109" s="16" t="n"/>
      <c r="DY109" s="16" t="n"/>
      <c r="DZ109" s="16" t="n"/>
      <c r="EA109" s="16" t="n"/>
      <c r="EB109" s="16" t="n"/>
      <c r="EC109" s="18" t="n"/>
      <c r="ED109" s="18" t="n"/>
      <c r="EE109" s="18" t="n"/>
      <c r="EF109" s="18" t="n"/>
      <c r="EG109" s="18" t="n"/>
      <c r="EH109" s="18" t="n"/>
      <c r="EI109" s="18" t="n"/>
      <c r="EJ109" s="18" t="n"/>
      <c r="EK109" s="18" t="n"/>
      <c r="EL109" s="18" t="n"/>
      <c r="EM109" s="16" t="n"/>
      <c r="EN109" s="16" t="n"/>
      <c r="EO109" s="16" t="n"/>
      <c r="EP109" s="16" t="n"/>
      <c r="EQ109" s="16" t="n"/>
      <c r="ER109" s="16" t="n"/>
      <c r="ES109" s="16" t="n"/>
      <c r="ET109" s="16" t="n"/>
      <c r="EU109" s="16" t="n"/>
      <c r="EV109" s="16" t="n"/>
    </row>
    <row r="110">
      <c r="B110" s="1" t="n">
        <v>2037</v>
      </c>
      <c r="C110" s="16" t="n">
        <v>226614</v>
      </c>
      <c r="D110" s="16" t="n">
        <v>906459</v>
      </c>
      <c r="E110" s="16" t="n">
        <v>226614</v>
      </c>
      <c r="F110" s="16" t="n">
        <v>226614</v>
      </c>
      <c r="G110" s="16" t="n"/>
      <c r="H110" s="16" t="n"/>
      <c r="I110" s="16" t="n"/>
      <c r="J110" s="16" t="n"/>
      <c r="K110" s="16" t="n"/>
      <c r="L110" s="16" t="n"/>
      <c r="M110" s="18" t="n">
        <v>51815</v>
      </c>
      <c r="N110" s="18" t="n">
        <v>1534489</v>
      </c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6" t="n">
        <v>331808</v>
      </c>
      <c r="X110" s="16" t="n"/>
      <c r="Y110" s="16" t="n">
        <v>383623</v>
      </c>
      <c r="Z110" s="16" t="n">
        <v>383623</v>
      </c>
      <c r="AA110" s="16" t="n"/>
      <c r="AB110" s="16" t="n"/>
      <c r="AC110" s="16" t="n"/>
      <c r="AD110" s="16" t="n"/>
      <c r="AE110" s="16" t="n"/>
      <c r="AF110" s="16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8" t="n"/>
      <c r="BB110" s="18" t="n"/>
      <c r="BC110" s="18" t="n"/>
      <c r="BD110" s="18" t="n"/>
      <c r="BE110" s="18" t="n"/>
      <c r="BF110" s="18" t="n"/>
      <c r="BG110" s="18" t="n"/>
      <c r="BH110" s="18" t="n"/>
      <c r="BI110" s="18" t="n"/>
      <c r="BJ110" s="18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6" t="n"/>
      <c r="BT110" s="16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6" t="n"/>
      <c r="CF110" s="16" t="n"/>
      <c r="CG110" s="16" t="n"/>
      <c r="CH110" s="16" t="n"/>
      <c r="CI110" s="16" t="n"/>
      <c r="CJ110" s="16" t="n"/>
      <c r="CK110" s="16" t="n"/>
      <c r="CL110" s="16" t="n"/>
      <c r="CM110" s="16" t="n"/>
      <c r="CN110" s="16" t="n"/>
      <c r="CO110" s="18" t="n"/>
      <c r="CP110" s="18" t="n"/>
      <c r="CQ110" s="18" t="n"/>
      <c r="CR110" s="18" t="n"/>
      <c r="CS110" s="18" t="n"/>
      <c r="CT110" s="18" t="n"/>
      <c r="CU110" s="18" t="n"/>
      <c r="CV110" s="18" t="n"/>
      <c r="CW110" s="18" t="n"/>
      <c r="CX110" s="18" t="n"/>
      <c r="CY110" s="16" t="n"/>
      <c r="CZ110" s="16" t="n"/>
      <c r="DA110" s="16" t="n"/>
      <c r="DB110" s="16" t="n"/>
      <c r="DC110" s="16" t="n"/>
      <c r="DD110" s="16" t="n"/>
      <c r="DE110" s="16" t="n"/>
      <c r="DF110" s="16" t="n"/>
      <c r="DG110" s="16" t="n"/>
      <c r="DH110" s="16" t="n"/>
      <c r="DI110" s="18" t="n"/>
      <c r="DJ110" s="18" t="n"/>
      <c r="DK110" s="18" t="n"/>
      <c r="DL110" s="18" t="n"/>
      <c r="DM110" s="18" t="n"/>
      <c r="DN110" s="18" t="n"/>
      <c r="DO110" s="18" t="n"/>
      <c r="DP110" s="18" t="n"/>
      <c r="DQ110" s="18" t="n"/>
      <c r="DR110" s="18" t="n"/>
      <c r="DS110" s="16" t="n"/>
      <c r="DT110" s="16" t="n"/>
      <c r="DU110" s="16" t="n"/>
      <c r="DV110" s="16" t="n"/>
      <c r="DW110" s="16" t="n"/>
      <c r="DX110" s="16" t="n"/>
      <c r="DY110" s="16" t="n"/>
      <c r="DZ110" s="16" t="n"/>
      <c r="EA110" s="16" t="n"/>
      <c r="EB110" s="16" t="n"/>
      <c r="EC110" s="18" t="n"/>
      <c r="ED110" s="18" t="n"/>
      <c r="EE110" s="18" t="n"/>
      <c r="EF110" s="18" t="n"/>
      <c r="EG110" s="18" t="n"/>
      <c r="EH110" s="18" t="n"/>
      <c r="EI110" s="18" t="n"/>
      <c r="EJ110" s="18" t="n"/>
      <c r="EK110" s="18" t="n"/>
      <c r="EL110" s="18" t="n"/>
      <c r="EM110" s="16" t="n"/>
      <c r="EN110" s="16" t="n"/>
      <c r="EO110" s="16" t="n"/>
      <c r="EP110" s="16" t="n"/>
      <c r="EQ110" s="16" t="n"/>
      <c r="ER110" s="16" t="n"/>
      <c r="ES110" s="16" t="n"/>
      <c r="ET110" s="16" t="n"/>
      <c r="EU110" s="16" t="n"/>
      <c r="EV110" s="16" t="n"/>
    </row>
    <row r="111">
      <c r="B111" s="1" t="n">
        <v>2038</v>
      </c>
      <c r="C111" s="16" t="n">
        <v>173752</v>
      </c>
      <c r="D111" s="16" t="n">
        <v>695008</v>
      </c>
      <c r="E111" s="16" t="n">
        <v>173752</v>
      </c>
      <c r="F111" s="16" t="n">
        <v>173752</v>
      </c>
      <c r="G111" s="16" t="n"/>
      <c r="H111" s="16" t="n"/>
      <c r="I111" s="16" t="n"/>
      <c r="J111" s="16" t="n"/>
      <c r="K111" s="16" t="n"/>
      <c r="L111" s="16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8" t="n"/>
      <c r="BJ111" s="18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6" t="n"/>
      <c r="BT111" s="16" t="n"/>
      <c r="BU111" s="18" t="n"/>
      <c r="BV111" s="18" t="n"/>
      <c r="BW111" s="18" t="n"/>
      <c r="BX111" s="18" t="n"/>
      <c r="BY111" s="18" t="n"/>
      <c r="BZ111" s="18" t="n"/>
      <c r="CA111" s="18" t="n"/>
      <c r="CB111" s="18" t="n"/>
      <c r="CC111" s="18" t="n"/>
      <c r="CD111" s="18" t="n"/>
      <c r="CE111" s="16" t="n"/>
      <c r="CF111" s="16" t="n"/>
      <c r="CG111" s="16" t="n"/>
      <c r="CH111" s="16" t="n"/>
      <c r="CI111" s="16" t="n"/>
      <c r="CJ111" s="16" t="n"/>
      <c r="CK111" s="16" t="n"/>
      <c r="CL111" s="16" t="n"/>
      <c r="CM111" s="16" t="n"/>
      <c r="CN111" s="16" t="n"/>
      <c r="CO111" s="18" t="n"/>
      <c r="CP111" s="18" t="n"/>
      <c r="CQ111" s="18" t="n"/>
      <c r="CR111" s="18" t="n"/>
      <c r="CS111" s="18" t="n"/>
      <c r="CT111" s="18" t="n"/>
      <c r="CU111" s="18" t="n"/>
      <c r="CV111" s="18" t="n"/>
      <c r="CW111" s="18" t="n"/>
      <c r="CX111" s="18" t="n"/>
      <c r="CY111" s="16" t="n"/>
      <c r="CZ111" s="16" t="n"/>
      <c r="DA111" s="16" t="n"/>
      <c r="DB111" s="16" t="n"/>
      <c r="DC111" s="16" t="n"/>
      <c r="DD111" s="16" t="n"/>
      <c r="DE111" s="16" t="n"/>
      <c r="DF111" s="16" t="n"/>
      <c r="DG111" s="16" t="n"/>
      <c r="DH111" s="16" t="n"/>
      <c r="DI111" s="18" t="n"/>
      <c r="DJ111" s="18" t="n"/>
      <c r="DK111" s="18" t="n"/>
      <c r="DL111" s="18" t="n"/>
      <c r="DM111" s="18" t="n"/>
      <c r="DN111" s="18" t="n"/>
      <c r="DO111" s="18" t="n"/>
      <c r="DP111" s="18" t="n"/>
      <c r="DQ111" s="18" t="n"/>
      <c r="DR111" s="18" t="n"/>
      <c r="DS111" s="16" t="n"/>
      <c r="DT111" s="16" t="n"/>
      <c r="DU111" s="16" t="n"/>
      <c r="DV111" s="16" t="n"/>
      <c r="DW111" s="16" t="n"/>
      <c r="DX111" s="16" t="n"/>
      <c r="DY111" s="16" t="n"/>
      <c r="DZ111" s="16" t="n"/>
      <c r="EA111" s="16" t="n"/>
      <c r="EB111" s="16" t="n"/>
      <c r="EC111" s="18" t="n"/>
      <c r="ED111" s="18" t="n"/>
      <c r="EE111" s="18" t="n"/>
      <c r="EF111" s="18" t="n"/>
      <c r="EG111" s="18" t="n"/>
      <c r="EH111" s="18" t="n"/>
      <c r="EI111" s="18" t="n"/>
      <c r="EJ111" s="18" t="n"/>
      <c r="EK111" s="18" t="n"/>
      <c r="EL111" s="18" t="n"/>
      <c r="EM111" s="16" t="n"/>
      <c r="EN111" s="16" t="n"/>
      <c r="EO111" s="16" t="n"/>
      <c r="EP111" s="16" t="n"/>
      <c r="EQ111" s="16" t="n"/>
      <c r="ER111" s="16" t="n"/>
      <c r="ES111" s="16" t="n"/>
      <c r="ET111" s="16" t="n"/>
      <c r="EU111" s="16" t="n"/>
      <c r="EV111" s="16" t="n"/>
    </row>
    <row r="112">
      <c r="B112" s="1" t="n">
        <v>2039</v>
      </c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6" t="n"/>
      <c r="AR112" s="16" t="n"/>
      <c r="AS112" s="16" t="n"/>
      <c r="AT112" s="16" t="n"/>
      <c r="AU112" s="16" t="n"/>
      <c r="AV112" s="16" t="n"/>
      <c r="AW112" s="16" t="n"/>
      <c r="AX112" s="16" t="n"/>
      <c r="AY112" s="16" t="n"/>
      <c r="AZ112" s="16" t="n"/>
      <c r="BA112" s="18" t="n"/>
      <c r="BB112" s="18" t="n"/>
      <c r="BC112" s="18" t="n"/>
      <c r="BD112" s="18" t="n"/>
      <c r="BE112" s="18" t="n"/>
      <c r="BF112" s="18" t="n"/>
      <c r="BG112" s="18" t="n"/>
      <c r="BH112" s="18" t="n"/>
      <c r="BI112" s="18" t="n"/>
      <c r="BJ112" s="18" t="n"/>
      <c r="BK112" s="16" t="n"/>
      <c r="BL112" s="16" t="n"/>
      <c r="BM112" s="16" t="n"/>
      <c r="BN112" s="16" t="n"/>
      <c r="BO112" s="16" t="n"/>
      <c r="BP112" s="16" t="n"/>
      <c r="BQ112" s="16" t="n"/>
      <c r="BR112" s="16" t="n"/>
      <c r="BS112" s="16" t="n"/>
      <c r="BT112" s="16" t="n"/>
      <c r="BU112" s="18" t="n"/>
      <c r="BV112" s="18" t="n"/>
      <c r="BW112" s="18" t="n"/>
      <c r="BX112" s="18" t="n"/>
      <c r="BY112" s="18" t="n"/>
      <c r="BZ112" s="18" t="n"/>
      <c r="CA112" s="18" t="n"/>
      <c r="CB112" s="18" t="n"/>
      <c r="CC112" s="18" t="n"/>
      <c r="CD112" s="18" t="n"/>
      <c r="CE112" s="16" t="n"/>
      <c r="CF112" s="16" t="n"/>
      <c r="CG112" s="16" t="n"/>
      <c r="CH112" s="16" t="n"/>
      <c r="CI112" s="16" t="n"/>
      <c r="CJ112" s="16" t="n"/>
      <c r="CK112" s="16" t="n"/>
      <c r="CL112" s="16" t="n"/>
      <c r="CM112" s="16" t="n"/>
      <c r="CN112" s="16" t="n"/>
      <c r="CO112" s="18" t="n"/>
      <c r="CP112" s="18" t="n"/>
      <c r="CQ112" s="18" t="n"/>
      <c r="CR112" s="18" t="n"/>
      <c r="CS112" s="18" t="n"/>
      <c r="CT112" s="18" t="n"/>
      <c r="CU112" s="18" t="n"/>
      <c r="CV112" s="18" t="n"/>
      <c r="CW112" s="18" t="n"/>
      <c r="CX112" s="18" t="n"/>
      <c r="CY112" s="16" t="n"/>
      <c r="CZ112" s="16" t="n"/>
      <c r="DA112" s="16" t="n"/>
      <c r="DB112" s="16" t="n"/>
      <c r="DC112" s="16" t="n"/>
      <c r="DD112" s="16" t="n"/>
      <c r="DE112" s="16" t="n"/>
      <c r="DF112" s="16" t="n"/>
      <c r="DG112" s="16" t="n"/>
      <c r="DH112" s="16" t="n"/>
      <c r="DI112" s="18" t="n"/>
      <c r="DJ112" s="18" t="n"/>
      <c r="DK112" s="18" t="n"/>
      <c r="DL112" s="18" t="n"/>
      <c r="DM112" s="18" t="n"/>
      <c r="DN112" s="18" t="n"/>
      <c r="DO112" s="18" t="n"/>
      <c r="DP112" s="18" t="n"/>
      <c r="DQ112" s="18" t="n"/>
      <c r="DR112" s="18" t="n"/>
      <c r="DS112" s="16" t="n"/>
      <c r="DT112" s="16" t="n"/>
      <c r="DU112" s="16" t="n"/>
      <c r="DV112" s="16" t="n"/>
      <c r="DW112" s="16" t="n"/>
      <c r="DX112" s="16" t="n"/>
      <c r="DY112" s="16" t="n"/>
      <c r="DZ112" s="16" t="n"/>
      <c r="EA112" s="16" t="n"/>
      <c r="EB112" s="16" t="n"/>
      <c r="EC112" s="18" t="n"/>
      <c r="ED112" s="18" t="n"/>
      <c r="EE112" s="18" t="n"/>
      <c r="EF112" s="18" t="n"/>
      <c r="EG112" s="18" t="n"/>
      <c r="EH112" s="18" t="n"/>
      <c r="EI112" s="18" t="n"/>
      <c r="EJ112" s="18" t="n"/>
      <c r="EK112" s="18" t="n"/>
      <c r="EL112" s="18" t="n"/>
      <c r="EM112" s="16" t="n"/>
      <c r="EN112" s="16" t="n"/>
      <c r="EO112" s="16" t="n"/>
      <c r="EP112" s="16" t="n"/>
      <c r="EQ112" s="16" t="n"/>
      <c r="ER112" s="16" t="n"/>
      <c r="ES112" s="16" t="n"/>
      <c r="ET112" s="16" t="n"/>
      <c r="EU112" s="16" t="n"/>
      <c r="EV112" s="16" t="n"/>
    </row>
    <row r="113">
      <c r="B113" s="1" t="n">
        <v>2040</v>
      </c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6" t="n"/>
      <c r="AR113" s="16" t="n"/>
      <c r="AS113" s="16" t="n"/>
      <c r="AT113" s="16" t="n"/>
      <c r="AU113" s="16" t="n"/>
      <c r="AV113" s="16" t="n"/>
      <c r="AW113" s="16" t="n"/>
      <c r="AX113" s="16" t="n"/>
      <c r="AY113" s="16" t="n"/>
      <c r="AZ113" s="16" t="n"/>
      <c r="BA113" s="18" t="n"/>
      <c r="BB113" s="18" t="n"/>
      <c r="BC113" s="18" t="n"/>
      <c r="BD113" s="18" t="n"/>
      <c r="BE113" s="18" t="n"/>
      <c r="BF113" s="18" t="n"/>
      <c r="BG113" s="18" t="n"/>
      <c r="BH113" s="18" t="n"/>
      <c r="BI113" s="18" t="n"/>
      <c r="BJ113" s="18" t="n"/>
      <c r="BK113" s="16" t="n"/>
      <c r="BL113" s="16" t="n"/>
      <c r="BM113" s="16" t="n"/>
      <c r="BN113" s="16" t="n"/>
      <c r="BO113" s="16" t="n"/>
      <c r="BP113" s="16" t="n"/>
      <c r="BQ113" s="16" t="n"/>
      <c r="BR113" s="16" t="n"/>
      <c r="BS113" s="16" t="n"/>
      <c r="BT113" s="16" t="n"/>
      <c r="BU113" s="18" t="n"/>
      <c r="BV113" s="18" t="n"/>
      <c r="BW113" s="18" t="n"/>
      <c r="BX113" s="18" t="n"/>
      <c r="BY113" s="18" t="n"/>
      <c r="BZ113" s="18" t="n"/>
      <c r="CA113" s="18" t="n"/>
      <c r="CB113" s="18" t="n"/>
      <c r="CC113" s="18" t="n"/>
      <c r="CD113" s="18" t="n"/>
      <c r="CE113" s="16" t="n"/>
      <c r="CF113" s="16" t="n"/>
      <c r="CG113" s="16" t="n"/>
      <c r="CH113" s="16" t="n"/>
      <c r="CI113" s="16" t="n"/>
      <c r="CJ113" s="16" t="n"/>
      <c r="CK113" s="16" t="n"/>
      <c r="CL113" s="16" t="n"/>
      <c r="CM113" s="16" t="n"/>
      <c r="CN113" s="16" t="n"/>
      <c r="CO113" s="18" t="n"/>
      <c r="CP113" s="18" t="n"/>
      <c r="CQ113" s="18" t="n"/>
      <c r="CR113" s="18" t="n"/>
      <c r="CS113" s="18" t="n"/>
      <c r="CT113" s="18" t="n"/>
      <c r="CU113" s="18" t="n"/>
      <c r="CV113" s="18" t="n"/>
      <c r="CW113" s="18" t="n"/>
      <c r="CX113" s="18" t="n"/>
      <c r="CY113" s="16" t="n"/>
      <c r="CZ113" s="16" t="n"/>
      <c r="DA113" s="16" t="n"/>
      <c r="DB113" s="16" t="n"/>
      <c r="DC113" s="16" t="n"/>
      <c r="DD113" s="16" t="n"/>
      <c r="DE113" s="16" t="n"/>
      <c r="DF113" s="16" t="n"/>
      <c r="DG113" s="16" t="n"/>
      <c r="DH113" s="16" t="n"/>
      <c r="DI113" s="18" t="n"/>
      <c r="DJ113" s="18" t="n"/>
      <c r="DK113" s="18" t="n"/>
      <c r="DL113" s="18" t="n"/>
      <c r="DM113" s="18" t="n"/>
      <c r="DN113" s="18" t="n"/>
      <c r="DO113" s="18" t="n"/>
      <c r="DP113" s="18" t="n"/>
      <c r="DQ113" s="18" t="n"/>
      <c r="DR113" s="18" t="n"/>
      <c r="DS113" s="16" t="n"/>
      <c r="DT113" s="16" t="n"/>
      <c r="DU113" s="16" t="n"/>
      <c r="DV113" s="16" t="n"/>
      <c r="DW113" s="16" t="n"/>
      <c r="DX113" s="16" t="n"/>
      <c r="DY113" s="16" t="n"/>
      <c r="DZ113" s="16" t="n"/>
      <c r="EA113" s="16" t="n"/>
      <c r="EB113" s="16" t="n"/>
      <c r="EC113" s="18" t="n"/>
      <c r="ED113" s="18" t="n"/>
      <c r="EE113" s="18" t="n"/>
      <c r="EF113" s="18" t="n"/>
      <c r="EG113" s="18" t="n"/>
      <c r="EH113" s="18" t="n"/>
      <c r="EI113" s="18" t="n"/>
      <c r="EJ113" s="18" t="n"/>
      <c r="EK113" s="18" t="n"/>
      <c r="EL113" s="18" t="n"/>
      <c r="EM113" s="16" t="n"/>
      <c r="EN113" s="16" t="n"/>
      <c r="EO113" s="16" t="n"/>
      <c r="EP113" s="16" t="n"/>
      <c r="EQ113" s="16" t="n"/>
      <c r="ER113" s="16" t="n"/>
      <c r="ES113" s="16" t="n"/>
      <c r="ET113" s="16" t="n"/>
      <c r="EU113" s="16" t="n"/>
      <c r="EV113" s="16" t="n"/>
    </row>
    <row r="114">
      <c r="B114" s="1" t="n">
        <v>2041</v>
      </c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6" t="n"/>
      <c r="AR114" s="16" t="n"/>
      <c r="AS114" s="16" t="n"/>
      <c r="AT114" s="16" t="n"/>
      <c r="AU114" s="16" t="n"/>
      <c r="AV114" s="16" t="n"/>
      <c r="AW114" s="16" t="n"/>
      <c r="AX114" s="16" t="n"/>
      <c r="AY114" s="16" t="n"/>
      <c r="AZ114" s="16" t="n"/>
      <c r="BA114" s="18" t="n"/>
      <c r="BB114" s="18" t="n"/>
      <c r="BC114" s="18" t="n"/>
      <c r="BD114" s="18" t="n"/>
      <c r="BE114" s="18" t="n"/>
      <c r="BF114" s="18" t="n"/>
      <c r="BG114" s="18" t="n"/>
      <c r="BH114" s="18" t="n"/>
      <c r="BI114" s="18" t="n"/>
      <c r="BJ114" s="18" t="n"/>
      <c r="BK114" s="16" t="n"/>
      <c r="BL114" s="16" t="n"/>
      <c r="BM114" s="16" t="n"/>
      <c r="BN114" s="16" t="n"/>
      <c r="BO114" s="16" t="n"/>
      <c r="BP114" s="16" t="n"/>
      <c r="BQ114" s="16" t="n"/>
      <c r="BR114" s="16" t="n"/>
      <c r="BS114" s="16" t="n"/>
      <c r="BT114" s="16" t="n"/>
      <c r="BU114" s="18" t="n"/>
      <c r="BV114" s="18" t="n"/>
      <c r="BW114" s="18" t="n"/>
      <c r="BX114" s="18" t="n"/>
      <c r="BY114" s="18" t="n"/>
      <c r="BZ114" s="18" t="n"/>
      <c r="CA114" s="18" t="n"/>
      <c r="CB114" s="18" t="n"/>
      <c r="CC114" s="18" t="n"/>
      <c r="CD114" s="18" t="n"/>
      <c r="CE114" s="16" t="n"/>
      <c r="CF114" s="16" t="n"/>
      <c r="CG114" s="16" t="n"/>
      <c r="CH114" s="16" t="n"/>
      <c r="CI114" s="16" t="n"/>
      <c r="CJ114" s="16" t="n"/>
      <c r="CK114" s="16" t="n"/>
      <c r="CL114" s="16" t="n"/>
      <c r="CM114" s="16" t="n"/>
      <c r="CN114" s="16" t="n"/>
      <c r="CO114" s="18" t="n"/>
      <c r="CP114" s="18" t="n"/>
      <c r="CQ114" s="18" t="n"/>
      <c r="CR114" s="18" t="n"/>
      <c r="CS114" s="18" t="n"/>
      <c r="CT114" s="18" t="n"/>
      <c r="CU114" s="18" t="n"/>
      <c r="CV114" s="18" t="n"/>
      <c r="CW114" s="18" t="n"/>
      <c r="CX114" s="18" t="n"/>
      <c r="CY114" s="16" t="n"/>
      <c r="CZ114" s="16" t="n"/>
      <c r="DA114" s="16" t="n"/>
      <c r="DB114" s="16" t="n"/>
      <c r="DC114" s="16" t="n"/>
      <c r="DD114" s="16" t="n"/>
      <c r="DE114" s="16" t="n"/>
      <c r="DF114" s="16" t="n"/>
      <c r="DG114" s="16" t="n"/>
      <c r="DH114" s="16" t="n"/>
      <c r="DI114" s="18" t="n"/>
      <c r="DJ114" s="18" t="n"/>
      <c r="DK114" s="18" t="n"/>
      <c r="DL114" s="18" t="n"/>
      <c r="DM114" s="18" t="n"/>
      <c r="DN114" s="18" t="n"/>
      <c r="DO114" s="18" t="n"/>
      <c r="DP114" s="18" t="n"/>
      <c r="DQ114" s="18" t="n"/>
      <c r="DR114" s="18" t="n"/>
      <c r="DS114" s="16" t="n"/>
      <c r="DT114" s="16" t="n"/>
      <c r="DU114" s="16" t="n"/>
      <c r="DV114" s="16" t="n"/>
      <c r="DW114" s="16" t="n"/>
      <c r="DX114" s="16" t="n"/>
      <c r="DY114" s="16" t="n"/>
      <c r="DZ114" s="16" t="n"/>
      <c r="EA114" s="16" t="n"/>
      <c r="EB114" s="16" t="n"/>
      <c r="EC114" s="18" t="n"/>
      <c r="ED114" s="18" t="n"/>
      <c r="EE114" s="18" t="n"/>
      <c r="EF114" s="18" t="n"/>
      <c r="EG114" s="18" t="n"/>
      <c r="EH114" s="18" t="n"/>
      <c r="EI114" s="18" t="n"/>
      <c r="EJ114" s="18" t="n"/>
      <c r="EK114" s="18" t="n"/>
      <c r="EL114" s="18" t="n"/>
      <c r="EM114" s="16" t="n"/>
      <c r="EN114" s="16" t="n"/>
      <c r="EO114" s="16" t="n"/>
      <c r="EP114" s="16" t="n"/>
      <c r="EQ114" s="16" t="n"/>
      <c r="ER114" s="16" t="n"/>
      <c r="ES114" s="16" t="n"/>
      <c r="ET114" s="16" t="n"/>
      <c r="EU114" s="16" t="n"/>
      <c r="EV114" s="16" t="n"/>
    </row>
    <row r="115"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6" t="n"/>
      <c r="AR115" s="16" t="n"/>
      <c r="AS115" s="16" t="n"/>
      <c r="AT115" s="16" t="n"/>
      <c r="AU115" s="16" t="n"/>
      <c r="AV115" s="16" t="n"/>
      <c r="AW115" s="16" t="n"/>
      <c r="AX115" s="16" t="n"/>
      <c r="AY115" s="16" t="n"/>
      <c r="AZ115" s="16" t="n"/>
      <c r="BA115" s="18" t="n"/>
      <c r="BB115" s="18" t="n"/>
      <c r="BC115" s="18" t="n"/>
      <c r="BD115" s="18" t="n"/>
      <c r="BE115" s="18" t="n"/>
      <c r="BF115" s="18" t="n"/>
      <c r="BG115" s="18" t="n"/>
      <c r="BH115" s="18" t="n"/>
      <c r="BI115" s="18" t="n"/>
      <c r="BJ115" s="18" t="n"/>
      <c r="BK115" s="16" t="n"/>
      <c r="BL115" s="16" t="n"/>
      <c r="BM115" s="16" t="n"/>
      <c r="BN115" s="16" t="n"/>
      <c r="BO115" s="16" t="n"/>
      <c r="BP115" s="16" t="n"/>
      <c r="BQ115" s="16" t="n"/>
      <c r="BR115" s="16" t="n"/>
      <c r="BS115" s="16" t="n"/>
      <c r="BT115" s="16" t="n"/>
      <c r="BU115" s="18" t="n"/>
      <c r="BV115" s="18" t="n"/>
      <c r="BW115" s="18" t="n"/>
      <c r="BX115" s="18" t="n"/>
      <c r="BY115" s="18" t="n"/>
      <c r="BZ115" s="18" t="n"/>
      <c r="CA115" s="18" t="n"/>
      <c r="CB115" s="18" t="n"/>
      <c r="CC115" s="18" t="n"/>
      <c r="CD115" s="18" t="n"/>
      <c r="CE115" s="16" t="n"/>
      <c r="CF115" s="16" t="n"/>
      <c r="CG115" s="16" t="n"/>
      <c r="CH115" s="16" t="n"/>
      <c r="CI115" s="16" t="n"/>
      <c r="CJ115" s="16" t="n"/>
      <c r="CK115" s="16" t="n"/>
      <c r="CL115" s="16" t="n"/>
      <c r="CM115" s="16" t="n"/>
      <c r="CN115" s="16" t="n"/>
      <c r="CO115" s="18" t="n"/>
      <c r="CP115" s="18" t="n"/>
      <c r="CQ115" s="18" t="n"/>
      <c r="CR115" s="18" t="n"/>
      <c r="CS115" s="18" t="n"/>
      <c r="CT115" s="18" t="n"/>
      <c r="CU115" s="18" t="n"/>
      <c r="CV115" s="18" t="n"/>
      <c r="CW115" s="18" t="n"/>
      <c r="CX115" s="18" t="n"/>
      <c r="CY115" s="16" t="n"/>
      <c r="CZ115" s="16" t="n"/>
      <c r="DA115" s="16" t="n"/>
      <c r="DB115" s="16" t="n"/>
      <c r="DC115" s="16" t="n"/>
      <c r="DD115" s="16" t="n"/>
      <c r="DE115" s="16" t="n"/>
      <c r="DF115" s="16" t="n"/>
      <c r="DG115" s="16" t="n"/>
      <c r="DH115" s="16" t="n"/>
      <c r="DI115" s="18" t="n"/>
      <c r="DJ115" s="18" t="n"/>
      <c r="DK115" s="18" t="n"/>
      <c r="DL115" s="18" t="n"/>
      <c r="DM115" s="18" t="n"/>
      <c r="DN115" s="18" t="n"/>
      <c r="DO115" s="18" t="n"/>
      <c r="DP115" s="18" t="n"/>
      <c r="DQ115" s="18" t="n"/>
      <c r="DR115" s="18" t="n"/>
      <c r="DS115" s="16" t="n"/>
      <c r="DT115" s="16" t="n"/>
      <c r="DU115" s="16" t="n"/>
      <c r="DV115" s="16" t="n"/>
      <c r="DW115" s="16" t="n"/>
      <c r="DX115" s="16" t="n"/>
      <c r="DY115" s="16" t="n"/>
      <c r="DZ115" s="16" t="n"/>
      <c r="EA115" s="16" t="n"/>
      <c r="EB115" s="16" t="n"/>
      <c r="EC115" s="18" t="n"/>
      <c r="ED115" s="18" t="n"/>
      <c r="EE115" s="18" t="n"/>
      <c r="EF115" s="18" t="n"/>
      <c r="EG115" s="18" t="n"/>
      <c r="EH115" s="18" t="n"/>
      <c r="EI115" s="18" t="n"/>
      <c r="EJ115" s="18" t="n"/>
      <c r="EK115" s="18" t="n"/>
      <c r="EL115" s="18" t="n"/>
      <c r="EM115" s="16" t="n"/>
      <c r="EN115" s="16" t="n"/>
      <c r="EO115" s="16" t="n"/>
      <c r="EP115" s="16" t="n"/>
      <c r="EQ115" s="16" t="n"/>
      <c r="ER115" s="16" t="n"/>
      <c r="ES115" s="16" t="n"/>
      <c r="ET115" s="16" t="n"/>
      <c r="EU115" s="16" t="n"/>
      <c r="EV115" s="16" t="n"/>
    </row>
    <row r="116" ht="18.75" customHeight="1">
      <c r="A116" s="2" t="inlineStr">
        <is>
          <t>VALIDATION</t>
        </is>
      </c>
    </row>
    <row r="118">
      <c r="A118" s="1" t="inlineStr">
        <is>
          <t>Allocated Totals</t>
        </is>
      </c>
      <c r="B118" s="1" t="inlineStr">
        <is>
          <t>Year</t>
        </is>
      </c>
      <c r="C118" s="1" t="inlineStr">
        <is>
          <t>P1</t>
        </is>
      </c>
      <c r="D118" s="1" t="inlineStr">
        <is>
          <t>P2</t>
        </is>
      </c>
      <c r="E118" s="1" t="inlineStr">
        <is>
          <t>P3</t>
        </is>
      </c>
      <c r="F118" s="1" t="inlineStr">
        <is>
          <t>P4</t>
        </is>
      </c>
      <c r="G118" s="1" t="inlineStr">
        <is>
          <t>P5</t>
        </is>
      </c>
      <c r="H118" s="1" t="inlineStr">
        <is>
          <t>P6</t>
        </is>
      </c>
      <c r="I118" s="1" t="inlineStr">
        <is>
          <t>P7</t>
        </is>
      </c>
      <c r="J118" s="1" t="inlineStr">
        <is>
          <t>P8</t>
        </is>
      </c>
      <c r="K118" s="1" t="inlineStr">
        <is>
          <t>P9</t>
        </is>
      </c>
      <c r="L118" s="1" t="inlineStr">
        <is>
          <t>P10</t>
        </is>
      </c>
      <c r="N118" s="1" t="inlineStr">
        <is>
          <t>Demand Match?</t>
        </is>
      </c>
      <c r="O118" s="1" t="inlineStr">
        <is>
          <t>Status</t>
        </is>
      </c>
    </row>
    <row r="119">
      <c r="B119">
        <f>B98</f>
        <v/>
      </c>
      <c r="C119">
        <f>C98+M98+W98+AG98+AQ98+BA98+BK98+BU98+CE98+CO98+CY98+DI98+DS98+EC98+EM98</f>
        <v/>
      </c>
      <c r="D119">
        <f>D98+N98+X98+AH98+AR98+BB98+BL98+BV98+CF98+CP98+CZ98+DJ98+DT98+ED98+EN98</f>
        <v/>
      </c>
      <c r="E119">
        <f>E98+O98+Y98+AI98+AS98+BC98+BM98+BW98+CG98+CQ98+DA98+DK98+DU98+EE98+EO98</f>
        <v/>
      </c>
      <c r="F119">
        <f>F98+P98+Z98+AJ98+AT98+BD98+BN98+BX98+CH98+CR98+DB98+DL98+DV98+EF98+EP98</f>
        <v/>
      </c>
      <c r="G119">
        <f>G98+Q98+AA98+AK98+AU98+BE98+BO98+BY98+CI98+CS98+DC98+DM98+DW98+EG98+EQ98</f>
        <v/>
      </c>
      <c r="H119">
        <f>H98+R98+AB98+AL98+AV98+BF98+BP98+BZ98+CJ98+CT98+DD98+DN98+DX98+EH98+ER98</f>
        <v/>
      </c>
      <c r="I119">
        <f>I98+S98+AC98+AM98+AW98+BG98+BQ98+CA98+CK98+CU98+DE98+DO98+DY98+EI98+ES98</f>
        <v/>
      </c>
      <c r="J119">
        <f>J98+T98+AD98+AN98+AX98+BH98+BR98+CB98+CL98+CV98+DF98+DP98+DZ98+EJ98+ET98</f>
        <v/>
      </c>
      <c r="K119">
        <f>K98+U98+AE98+AO98+AY98+BI98+BS98+CC98+CM98+CW98+DG98+DQ98+EA98+EK98+EU98</f>
        <v/>
      </c>
      <c r="L119">
        <f>L98+V98+AF98+AP98+AZ98+BJ98+BT98+CD98+CN98+CX98+DH98+DR98+EB98+EL98+EV98</f>
        <v/>
      </c>
      <c r="N119">
        <f>AND(C119=C3,D119=D3,E119=E3,F119=F3,G119=G3,H119=H3,I119=I3,J119=J3,K119=K3,L119=L3)</f>
        <v/>
      </c>
      <c r="O119">
        <f>IF(N119,"✓ OK","✗ MISMATCH")</f>
        <v/>
      </c>
    </row>
    <row r="120">
      <c r="B120">
        <f>B99</f>
        <v/>
      </c>
      <c r="C120">
        <f>C99+M99+W99+AG99+AQ99+BA99+BK99+BU99+CE99+CO99+CY99+DI99+DS99+EC99+EM99</f>
        <v/>
      </c>
      <c r="D120">
        <f>D99+N99+X99+AH99+AR99+BB99+BL99+BV99+CF99+CP99+CZ99+DJ99+DT99+ED99+EN99</f>
        <v/>
      </c>
      <c r="E120">
        <f>E99+O99+Y99+AI99+AS99+BC99+BM99+BW99+CG99+CQ99+DA99+DK99+DU99+EE99+EO99</f>
        <v/>
      </c>
      <c r="F120">
        <f>F99+P99+Z99+AJ99+AT99+BD99+BN99+BX99+CH99+CR99+DB99+DL99+DV99+EF99+EP99</f>
        <v/>
      </c>
      <c r="G120">
        <f>G99+Q99+AA99+AK99+AU99+BE99+BO99+BY99+CI99+CS99+DC99+DM99+DW99+EG99+EQ99</f>
        <v/>
      </c>
      <c r="H120">
        <f>H99+R99+AB99+AL99+AV99+BF99+BP99+BZ99+CJ99+CT99+DD99+DN99+DX99+EH99+ER99</f>
        <v/>
      </c>
      <c r="I120">
        <f>I99+S99+AC99+AM99+AW99+BG99+BQ99+CA99+CK99+CU99+DE99+DO99+DY99+EI99+ES99</f>
        <v/>
      </c>
      <c r="J120">
        <f>J99+T99+AD99+AN99+AX99+BH99+BR99+CB99+CL99+CV99+DF99+DP99+DZ99+EJ99+ET99</f>
        <v/>
      </c>
      <c r="K120">
        <f>K99+U99+AE99+AO99+AY99+BI99+BS99+CC99+CM99+CW99+DG99+DQ99+EA99+EK99+EU99</f>
        <v/>
      </c>
      <c r="L120">
        <f>L99+V99+AF99+AP99+AZ99+BJ99+BT99+CD99+CN99+CX99+DH99+DR99+EB99+EL99+EV99</f>
        <v/>
      </c>
      <c r="N120">
        <f>AND(C120=C4,D120=D4,E120=E4,F120=F4,G120=G4,H120=H4,I120=I4,J120=J4,K120=K4,L120=L4)</f>
        <v/>
      </c>
      <c r="O120">
        <f>IF(N120,"✓ OK","✗ MISMATCH")</f>
        <v/>
      </c>
    </row>
    <row r="121">
      <c r="B121">
        <f>B100</f>
        <v/>
      </c>
      <c r="C121">
        <f>C100+M100+W100+AG100+AQ100+BA100+BK100+BU100+CE100+CO100+CY100+DI100+DS100+EC100+EM100</f>
        <v/>
      </c>
      <c r="D121">
        <f>D100+N100+X100+AH100+AR100+BB100+BL100+BV100+CF100+CP100+CZ100+DJ100+DT100+ED100+EN100</f>
        <v/>
      </c>
      <c r="E121">
        <f>E100+O100+Y100+AI100+AS100+BC100+BM100+BW100+CG100+CQ100+DA100+DK100+DU100+EE100+EO100</f>
        <v/>
      </c>
      <c r="F121">
        <f>F100+P100+Z100+AJ100+AT100+BD100+BN100+BX100+CH100+CR100+DB100+DL100+DV100+EF100+EP100</f>
        <v/>
      </c>
      <c r="G121">
        <f>G100+Q100+AA100+AK100+AU100+BE100+BO100+BY100+CI100+CS100+DC100+DM100+DW100+EG100+EQ100</f>
        <v/>
      </c>
      <c r="H121">
        <f>H100+R100+AB100+AL100+AV100+BF100+BP100+BZ100+CJ100+CT100+DD100+DN100+DX100+EH100+ER100</f>
        <v/>
      </c>
      <c r="I121">
        <f>I100+S100+AC100+AM100+AW100+BG100+BQ100+CA100+CK100+CU100+DE100+DO100+DY100+EI100+ES100</f>
        <v/>
      </c>
      <c r="J121">
        <f>J100+T100+AD100+AN100+AX100+BH100+BR100+CB100+CL100+CV100+DF100+DP100+DZ100+EJ100+ET100</f>
        <v/>
      </c>
      <c r="K121">
        <f>K100+U100+AE100+AO100+AY100+BI100+BS100+CC100+CM100+CW100+DG100+DQ100+EA100+EK100+EU100</f>
        <v/>
      </c>
      <c r="L121">
        <f>L100+V100+AF100+AP100+AZ100+BJ100+BT100+CD100+CN100+CX100+DH100+DR100+EB100+EL100+EV100</f>
        <v/>
      </c>
      <c r="N121">
        <f>AND(C121=C5,D121=D5,E121=E5,F121=F5,G121=G5,H121=H5,I121=I5,J121=J5,K121=K5,L121=L5)</f>
        <v/>
      </c>
      <c r="O121">
        <f>IF(N121,"✓ OK","✗ MISMATCH")</f>
        <v/>
      </c>
    </row>
    <row r="122">
      <c r="B122">
        <f>B101</f>
        <v/>
      </c>
      <c r="C122">
        <f>C101+M101+W101+AG101+AQ101+BA101+BK101+BU101+CE101+CO101+CY101+DI101+DS101+EC101+EM101</f>
        <v/>
      </c>
      <c r="D122">
        <f>D101+N101+X101+AH101+AR101+BB101+BL101+BV101+CF101+CP101+CZ101+DJ101+DT101+ED101+EN101</f>
        <v/>
      </c>
      <c r="E122">
        <f>E101+O101+Y101+AI101+AS101+BC101+BM101+BW101+CG101+CQ101+DA101+DK101+DU101+EE101+EO101</f>
        <v/>
      </c>
      <c r="F122">
        <f>F101+P101+Z101+AJ101+AT101+BD101+BN101+BX101+CH101+CR101+DB101+DL101+DV101+EF101+EP101</f>
        <v/>
      </c>
      <c r="G122">
        <f>G101+Q101+AA101+AK101+AU101+BE101+BO101+BY101+CI101+CS101+DC101+DM101+DW101+EG101+EQ101</f>
        <v/>
      </c>
      <c r="H122">
        <f>H101+R101+AB101+AL101+AV101+BF101+BP101+BZ101+CJ101+CT101+DD101+DN101+DX101+EH101+ER101</f>
        <v/>
      </c>
      <c r="I122">
        <f>I101+S101+AC101+AM101+AW101+BG101+BQ101+CA101+CK101+CU101+DE101+DO101+DY101+EI101+ES101</f>
        <v/>
      </c>
      <c r="J122">
        <f>J101+T101+AD101+AN101+AX101+BH101+BR101+CB101+CL101+CV101+DF101+DP101+DZ101+EJ101+ET101</f>
        <v/>
      </c>
      <c r="K122">
        <f>K101+U101+AE101+AO101+AY101+BI101+BS101+CC101+CM101+CW101+DG101+DQ101+EA101+EK101+EU101</f>
        <v/>
      </c>
      <c r="L122">
        <f>L101+V101+AF101+AP101+AZ101+BJ101+BT101+CD101+CN101+CX101+DH101+DR101+EB101+EL101+EV101</f>
        <v/>
      </c>
      <c r="N122">
        <f>AND(C122=C6,D122=D6,E122=E6,F122=F6,G122=G6,H122=H6,I122=I6,J122=J6,K122=K6,L122=L6)</f>
        <v/>
      </c>
      <c r="O122">
        <f>IF(N122,"✓ OK","✗ MISMATCH")</f>
        <v/>
      </c>
    </row>
    <row r="123">
      <c r="B123">
        <f>B102</f>
        <v/>
      </c>
      <c r="C123">
        <f>C102+M102+W102+AG102+AQ102+BA102+BK102+BU102+CE102+CO102+CY102+DI102+DS102+EC102+EM102</f>
        <v/>
      </c>
      <c r="D123">
        <f>D102+N102+X102+AH102+AR102+BB102+BL102+BV102+CF102+CP102+CZ102+DJ102+DT102+ED102+EN102</f>
        <v/>
      </c>
      <c r="E123">
        <f>E102+O102+Y102+AI102+AS102+BC102+BM102+BW102+CG102+CQ102+DA102+DK102+DU102+EE102+EO102</f>
        <v/>
      </c>
      <c r="F123">
        <f>F102+P102+Z102+AJ102+AT102+BD102+BN102+BX102+CH102+CR102+DB102+DL102+DV102+EF102+EP102</f>
        <v/>
      </c>
      <c r="G123">
        <f>G102+Q102+AA102+AK102+AU102+BE102+BO102+BY102+CI102+CS102+DC102+DM102+DW102+EG102+EQ102</f>
        <v/>
      </c>
      <c r="H123">
        <f>H102+R102+AB102+AL102+AV102+BF102+BP102+BZ102+CJ102+CT102+DD102+DN102+DX102+EH102+ER102</f>
        <v/>
      </c>
      <c r="I123">
        <f>I102+S102+AC102+AM102+AW102+BG102+BQ102+CA102+CK102+CU102+DE102+DO102+DY102+EI102+ES102</f>
        <v/>
      </c>
      <c r="J123">
        <f>J102+T102+AD102+AN102+AX102+BH102+BR102+CB102+CL102+CV102+DF102+DP102+DZ102+EJ102+ET102</f>
        <v/>
      </c>
      <c r="K123">
        <f>K102+U102+AE102+AO102+AY102+BI102+BS102+CC102+CM102+CW102+DG102+DQ102+EA102+EK102+EU102</f>
        <v/>
      </c>
      <c r="L123">
        <f>L102+V102+AF102+AP102+AZ102+BJ102+BT102+CD102+CN102+CX102+DH102+DR102+EB102+EL102+EV102</f>
        <v/>
      </c>
      <c r="N123">
        <f>AND(C123=C7,D123=D7,E123=E7,F123=F7,G123=G7,H123=H7,I123=I7,J123=J7,K123=K7,L123=L7)</f>
        <v/>
      </c>
      <c r="O123">
        <f>IF(N123,"✓ OK","✗ MISMATCH")</f>
        <v/>
      </c>
    </row>
    <row r="124">
      <c r="B124">
        <f>B103</f>
        <v/>
      </c>
      <c r="C124">
        <f>C103+M103+W103+AG103+AQ103+BA103+BK103+BU103+CE103+CO103+CY103+DI103+DS103+EC103+EM103</f>
        <v/>
      </c>
      <c r="D124">
        <f>D103+N103+X103+AH103+AR103+BB103+BL103+BV103+CF103+CP103+CZ103+DJ103+DT103+ED103+EN103</f>
        <v/>
      </c>
      <c r="E124">
        <f>E103+O103+Y103+AI103+AS103+BC103+BM103+BW103+CG103+CQ103+DA103+DK103+DU103+EE103+EO103</f>
        <v/>
      </c>
      <c r="F124">
        <f>F103+P103+Z103+AJ103+AT103+BD103+BN103+BX103+CH103+CR103+DB103+DL103+DV103+EF103+EP103</f>
        <v/>
      </c>
      <c r="G124">
        <f>G103+Q103+AA103+AK103+AU103+BE103+BO103+BY103+CI103+CS103+DC103+DM103+DW103+EG103+EQ103</f>
        <v/>
      </c>
      <c r="H124">
        <f>H103+R103+AB103+AL103+AV103+BF103+BP103+BZ103+CJ103+CT103+DD103+DN103+DX103+EH103+ER103</f>
        <v/>
      </c>
      <c r="I124">
        <f>I103+S103+AC103+AM103+AW103+BG103+BQ103+CA103+CK103+CU103+DE103+DO103+DY103+EI103+ES103</f>
        <v/>
      </c>
      <c r="J124">
        <f>J103+T103+AD103+AN103+AX103+BH103+BR103+CB103+CL103+CV103+DF103+DP103+DZ103+EJ103+ET103</f>
        <v/>
      </c>
      <c r="K124">
        <f>K103+U103+AE103+AO103+AY103+BI103+BS103+CC103+CM103+CW103+DG103+DQ103+EA103+EK103+EU103</f>
        <v/>
      </c>
      <c r="L124">
        <f>L103+V103+AF103+AP103+AZ103+BJ103+BT103+CD103+CN103+CX103+DH103+DR103+EB103+EL103+EV103</f>
        <v/>
      </c>
      <c r="N124">
        <f>AND(C124=C8,D124=D8,E124=E8,F124=F8,G124=G8,H124=H8,I124=I8,J124=J8,K124=K8,L124=L8)</f>
        <v/>
      </c>
      <c r="O124">
        <f>IF(N124,"✓ OK","✗ MISMATCH")</f>
        <v/>
      </c>
    </row>
    <row r="125">
      <c r="B125">
        <f>B104</f>
        <v/>
      </c>
      <c r="C125">
        <f>C104+M104+W104+AG104+AQ104+BA104+BK104+BU104+CE104+CO104+CY104+DI104+DS104+EC104+EM104</f>
        <v/>
      </c>
      <c r="D125">
        <f>D104+N104+X104+AH104+AR104+BB104+BL104+BV104+CF104+CP104+CZ104+DJ104+DT104+ED104+EN104</f>
        <v/>
      </c>
      <c r="E125">
        <f>E104+O104+Y104+AI104+AS104+BC104+BM104+BW104+CG104+CQ104+DA104+DK104+DU104+EE104+EO104</f>
        <v/>
      </c>
      <c r="F125">
        <f>F104+P104+Z104+AJ104+AT104+BD104+BN104+BX104+CH104+CR104+DB104+DL104+DV104+EF104+EP104</f>
        <v/>
      </c>
      <c r="G125">
        <f>G104+Q104+AA104+AK104+AU104+BE104+BO104+BY104+CI104+CS104+DC104+DM104+DW104+EG104+EQ104</f>
        <v/>
      </c>
      <c r="H125">
        <f>H104+R104+AB104+AL104+AV104+BF104+BP104+BZ104+CJ104+CT104+DD104+DN104+DX104+EH104+ER104</f>
        <v/>
      </c>
      <c r="I125">
        <f>I104+S104+AC104+AM104+AW104+BG104+BQ104+CA104+CK104+CU104+DE104+DO104+DY104+EI104+ES104</f>
        <v/>
      </c>
      <c r="J125">
        <f>J104+T104+AD104+AN104+AX104+BH104+BR104+CB104+CL104+CV104+DF104+DP104+DZ104+EJ104+ET104</f>
        <v/>
      </c>
      <c r="K125">
        <f>K104+U104+AE104+AO104+AY104+BI104+BS104+CC104+CM104+CW104+DG104+DQ104+EA104+EK104+EU104</f>
        <v/>
      </c>
      <c r="L125">
        <f>L104+V104+AF104+AP104+AZ104+BJ104+BT104+CD104+CN104+CX104+DH104+DR104+EB104+EL104+EV104</f>
        <v/>
      </c>
      <c r="N125">
        <f>AND(C125=C9,D125=D9,E125=E9,F125=F9,G125=G9,H125=H9,I125=I9,J125=J9,K125=K9,L125=L9)</f>
        <v/>
      </c>
      <c r="O125">
        <f>IF(N125,"✓ OK","✗ MISMATCH")</f>
        <v/>
      </c>
    </row>
    <row r="126">
      <c r="B126">
        <f>B105</f>
        <v/>
      </c>
      <c r="C126">
        <f>C105+M105+W105+AG105+AQ105+BA105+BK105+BU105+CE105+CO105+CY105+DI105+DS105+EC105+EM105</f>
        <v/>
      </c>
      <c r="D126">
        <f>D105+N105+X105+AH105+AR105+BB105+BL105+BV105+CF105+CP105+CZ105+DJ105+DT105+ED105+EN105</f>
        <v/>
      </c>
      <c r="E126">
        <f>E105+O105+Y105+AI105+AS105+BC105+BM105+BW105+CG105+CQ105+DA105+DK105+DU105+EE105+EO105</f>
        <v/>
      </c>
      <c r="F126">
        <f>F105+P105+Z105+AJ105+AT105+BD105+BN105+BX105+CH105+CR105+DB105+DL105+DV105+EF105+EP105</f>
        <v/>
      </c>
      <c r="G126">
        <f>G105+Q105+AA105+AK105+AU105+BE105+BO105+BY105+CI105+CS105+DC105+DM105+DW105+EG105+EQ105</f>
        <v/>
      </c>
      <c r="H126">
        <f>H105+R105+AB105+AL105+AV105+BF105+BP105+BZ105+CJ105+CT105+DD105+DN105+DX105+EH105+ER105</f>
        <v/>
      </c>
      <c r="I126">
        <f>I105+S105+AC105+AM105+AW105+BG105+BQ105+CA105+CK105+CU105+DE105+DO105+DY105+EI105+ES105</f>
        <v/>
      </c>
      <c r="J126">
        <f>J105+T105+AD105+AN105+AX105+BH105+BR105+CB105+CL105+CV105+DF105+DP105+DZ105+EJ105+ET105</f>
        <v/>
      </c>
      <c r="K126">
        <f>K105+U105+AE105+AO105+AY105+BI105+BS105+CC105+CM105+CW105+DG105+DQ105+EA105+EK105+EU105</f>
        <v/>
      </c>
      <c r="L126">
        <f>L105+V105+AF105+AP105+AZ105+BJ105+BT105+CD105+CN105+CX105+DH105+DR105+EB105+EL105+EV105</f>
        <v/>
      </c>
      <c r="N126">
        <f>AND(C126=C10,D126=D10,E126=E10,F126=F10,G126=G10,H126=H10,I126=I10,J126=J10,K126=K10,L126=L10)</f>
        <v/>
      </c>
      <c r="O126">
        <f>IF(N126,"✓ OK","✗ MISMATCH")</f>
        <v/>
      </c>
    </row>
    <row r="127">
      <c r="B127">
        <f>B106</f>
        <v/>
      </c>
      <c r="C127">
        <f>C106+M106+W106+AG106+AQ106+BA106+BK106+BU106+CE106+CO106+CY106+DI106+DS106+EC106+EM106</f>
        <v/>
      </c>
      <c r="D127">
        <f>D106+N106+X106+AH106+AR106+BB106+BL106+BV106+CF106+CP106+CZ106+DJ106+DT106+ED106+EN106</f>
        <v/>
      </c>
      <c r="E127">
        <f>E106+O106+Y106+AI106+AS106+BC106+BM106+BW106+CG106+CQ106+DA106+DK106+DU106+EE106+EO106</f>
        <v/>
      </c>
      <c r="F127">
        <f>F106+P106+Z106+AJ106+AT106+BD106+BN106+BX106+CH106+CR106+DB106+DL106+DV106+EF106+EP106</f>
        <v/>
      </c>
      <c r="G127">
        <f>G106+Q106+AA106+AK106+AU106+BE106+BO106+BY106+CI106+CS106+DC106+DM106+DW106+EG106+EQ106</f>
        <v/>
      </c>
      <c r="H127">
        <f>H106+R106+AB106+AL106+AV106+BF106+BP106+BZ106+CJ106+CT106+DD106+DN106+DX106+EH106+ER106</f>
        <v/>
      </c>
      <c r="I127">
        <f>I106+S106+AC106+AM106+AW106+BG106+BQ106+CA106+CK106+CU106+DE106+DO106+DY106+EI106+ES106</f>
        <v/>
      </c>
      <c r="J127">
        <f>J106+T106+AD106+AN106+AX106+BH106+BR106+CB106+CL106+CV106+DF106+DP106+DZ106+EJ106+ET106</f>
        <v/>
      </c>
      <c r="K127">
        <f>K106+U106+AE106+AO106+AY106+BI106+BS106+CC106+CM106+CW106+DG106+DQ106+EA106+EK106+EU106</f>
        <v/>
      </c>
      <c r="L127">
        <f>L106+V106+AF106+AP106+AZ106+BJ106+BT106+CD106+CN106+CX106+DH106+DR106+EB106+EL106+EV106</f>
        <v/>
      </c>
      <c r="N127">
        <f>AND(C127=C11,D127=D11,E127=E11,F127=F11,G127=G11,H127=H11,I127=I11,J127=J11,K127=K11,L127=L11)</f>
        <v/>
      </c>
      <c r="O127">
        <f>IF(N127,"✓ OK","✗ MISMATCH")</f>
        <v/>
      </c>
    </row>
    <row r="128">
      <c r="B128">
        <f>B107</f>
        <v/>
      </c>
      <c r="C128">
        <f>C107+M107+W107+AG107+AQ107+BA107+BK107+BU107+CE107+CO107+CY107+DI107+DS107+EC107+EM107</f>
        <v/>
      </c>
      <c r="D128">
        <f>D107+N107+X107+AH107+AR107+BB107+BL107+BV107+CF107+CP107+CZ107+DJ107+DT107+ED107+EN107</f>
        <v/>
      </c>
      <c r="E128">
        <f>E107+O107+Y107+AI107+AS107+BC107+BM107+BW107+CG107+CQ107+DA107+DK107+DU107+EE107+EO107</f>
        <v/>
      </c>
      <c r="F128">
        <f>F107+P107+Z107+AJ107+AT107+BD107+BN107+BX107+CH107+CR107+DB107+DL107+DV107+EF107+EP107</f>
        <v/>
      </c>
      <c r="G128">
        <f>G107+Q107+AA107+AK107+AU107+BE107+BO107+BY107+CI107+CS107+DC107+DM107+DW107+EG107+EQ107</f>
        <v/>
      </c>
      <c r="H128">
        <f>H107+R107+AB107+AL107+AV107+BF107+BP107+BZ107+CJ107+CT107+DD107+DN107+DX107+EH107+ER107</f>
        <v/>
      </c>
      <c r="I128">
        <f>I107+S107+AC107+AM107+AW107+BG107+BQ107+CA107+CK107+CU107+DE107+DO107+DY107+EI107+ES107</f>
        <v/>
      </c>
      <c r="J128">
        <f>J107+T107+AD107+AN107+AX107+BH107+BR107+CB107+CL107+CV107+DF107+DP107+DZ107+EJ107+ET107</f>
        <v/>
      </c>
      <c r="K128">
        <f>K107+U107+AE107+AO107+AY107+BI107+BS107+CC107+CM107+CW107+DG107+DQ107+EA107+EK107+EU107</f>
        <v/>
      </c>
      <c r="L128">
        <f>L107+V107+AF107+AP107+AZ107+BJ107+BT107+CD107+CN107+CX107+DH107+DR107+EB107+EL107+EV107</f>
        <v/>
      </c>
      <c r="N128">
        <f>AND(C128=C12,D128=D12,E128=E12,F128=F12,G128=G12,H128=H12,I128=I12,J128=J12,K128=K12,L128=L12)</f>
        <v/>
      </c>
      <c r="O128">
        <f>IF(N128,"✓ OK","✗ MISMATCH")</f>
        <v/>
      </c>
    </row>
    <row r="129">
      <c r="B129">
        <f>B108</f>
        <v/>
      </c>
      <c r="C129">
        <f>C108+M108+W108+AG108+AQ108+BA108+BK108+BU108+CE108+CO108+CY108+DI108+DS108+EC108+EM108</f>
        <v/>
      </c>
      <c r="D129">
        <f>D108+N108+X108+AH108+AR108+BB108+BL108+BV108+CF108+CP108+CZ108+DJ108+DT108+ED108+EN108</f>
        <v/>
      </c>
      <c r="E129">
        <f>E108+O108+Y108+AI108+AS108+BC108+BM108+BW108+CG108+CQ108+DA108+DK108+DU108+EE108+EO108</f>
        <v/>
      </c>
      <c r="F129">
        <f>F108+P108+Z108+AJ108+AT108+BD108+BN108+BX108+CH108+CR108+DB108+DL108+DV108+EF108+EP108</f>
        <v/>
      </c>
      <c r="G129">
        <f>G108+Q108+AA108+AK108+AU108+BE108+BO108+BY108+CI108+CS108+DC108+DM108+DW108+EG108+EQ108</f>
        <v/>
      </c>
      <c r="H129">
        <f>H108+R108+AB108+AL108+AV108+BF108+BP108+BZ108+CJ108+CT108+DD108+DN108+DX108+EH108+ER108</f>
        <v/>
      </c>
      <c r="I129">
        <f>I108+S108+AC108+AM108+AW108+BG108+BQ108+CA108+CK108+CU108+DE108+DO108+DY108+EI108+ES108</f>
        <v/>
      </c>
      <c r="J129">
        <f>J108+T108+AD108+AN108+AX108+BH108+BR108+CB108+CL108+CV108+DF108+DP108+DZ108+EJ108+ET108</f>
        <v/>
      </c>
      <c r="K129">
        <f>K108+U108+AE108+AO108+AY108+BI108+BS108+CC108+CM108+CW108+DG108+DQ108+EA108+EK108+EU108</f>
        <v/>
      </c>
      <c r="L129">
        <f>L108+V108+AF108+AP108+AZ108+BJ108+BT108+CD108+CN108+CX108+DH108+DR108+EB108+EL108+EV108</f>
        <v/>
      </c>
      <c r="N129">
        <f>AND(C129=C13,D129=D13,E129=E13,F129=F13,G129=G13,H129=H13,I129=I13,J129=J13,K129=K13,L129=L13)</f>
        <v/>
      </c>
      <c r="O129">
        <f>IF(N129,"✓ OK","✗ MISMATCH")</f>
        <v/>
      </c>
    </row>
    <row r="130">
      <c r="B130">
        <f>B109</f>
        <v/>
      </c>
      <c r="C130">
        <f>C109+M109+W109+AG109+AQ109+BA109+BK109+BU109+CE109+CO109+CY109+DI109+DS109+EC109+EM109</f>
        <v/>
      </c>
      <c r="D130">
        <f>D109+N109+X109+AH109+AR109+BB109+BL109+BV109+CF109+CP109+CZ109+DJ109+DT109+ED109+EN109</f>
        <v/>
      </c>
      <c r="E130">
        <f>E109+O109+Y109+AI109+AS109+BC109+BM109+BW109+CG109+CQ109+DA109+DK109+DU109+EE109+EO109</f>
        <v/>
      </c>
      <c r="F130">
        <f>F109+P109+Z109+AJ109+AT109+BD109+BN109+BX109+CH109+CR109+DB109+DL109+DV109+EF109+EP109</f>
        <v/>
      </c>
      <c r="G130">
        <f>G109+Q109+AA109+AK109+AU109+BE109+BO109+BY109+CI109+CS109+DC109+DM109+DW109+EG109+EQ109</f>
        <v/>
      </c>
      <c r="H130">
        <f>H109+R109+AB109+AL109+AV109+BF109+BP109+BZ109+CJ109+CT109+DD109+DN109+DX109+EH109+ER109</f>
        <v/>
      </c>
      <c r="I130">
        <f>I109+S109+AC109+AM109+AW109+BG109+BQ109+CA109+CK109+CU109+DE109+DO109+DY109+EI109+ES109</f>
        <v/>
      </c>
      <c r="J130">
        <f>J109+T109+AD109+AN109+AX109+BH109+BR109+CB109+CL109+CV109+DF109+DP109+DZ109+EJ109+ET109</f>
        <v/>
      </c>
      <c r="K130">
        <f>K109+U109+AE109+AO109+AY109+BI109+BS109+CC109+CM109+CW109+DG109+DQ109+EA109+EK109+EU109</f>
        <v/>
      </c>
      <c r="L130">
        <f>L109+V109+AF109+AP109+AZ109+BJ109+BT109+CD109+CN109+CX109+DH109+DR109+EB109+EL109+EV109</f>
        <v/>
      </c>
      <c r="N130">
        <f>AND(C130=C14,D130=D14,E130=E14,F130=F14,G130=G14,H130=H14,I130=I14,J130=J14,K130=K14,L130=L14)</f>
        <v/>
      </c>
      <c r="O130">
        <f>IF(N130,"✓ OK","✗ MISMATCH")</f>
        <v/>
      </c>
    </row>
    <row r="131">
      <c r="B131">
        <f>B110</f>
        <v/>
      </c>
      <c r="C131">
        <f>C110+M110+W110+AG110+AQ110+BA110+BK110+BU110+CE110+CO110+CY110+DI110+DS110+EC110+EM110</f>
        <v/>
      </c>
      <c r="D131">
        <f>D110+N110+X110+AH110+AR110+BB110+BL110+BV110+CF110+CP110+CZ110+DJ110+DT110+ED110+EN110</f>
        <v/>
      </c>
      <c r="E131">
        <f>E110+O110+Y110+AI110+AS110+BC110+BM110+BW110+CG110+CQ110+DA110+DK110+DU110+EE110+EO110</f>
        <v/>
      </c>
      <c r="F131">
        <f>F110+P110+Z110+AJ110+AT110+BD110+BN110+BX110+CH110+CR110+DB110+DL110+DV110+EF110+EP110</f>
        <v/>
      </c>
      <c r="G131">
        <f>G110+Q110+AA110+AK110+AU110+BE110+BO110+BY110+CI110+CS110+DC110+DM110+DW110+EG110+EQ110</f>
        <v/>
      </c>
      <c r="H131">
        <f>H110+R110+AB110+AL110+AV110+BF110+BP110+BZ110+CJ110+CT110+DD110+DN110+DX110+EH110+ER110</f>
        <v/>
      </c>
      <c r="I131">
        <f>I110+S110+AC110+AM110+AW110+BG110+BQ110+CA110+CK110+CU110+DE110+DO110+DY110+EI110+ES110</f>
        <v/>
      </c>
      <c r="J131">
        <f>J110+T110+AD110+AN110+AX110+BH110+BR110+CB110+CL110+CV110+DF110+DP110+DZ110+EJ110+ET110</f>
        <v/>
      </c>
      <c r="K131">
        <f>K110+U110+AE110+AO110+AY110+BI110+BS110+CC110+CM110+CW110+DG110+DQ110+EA110+EK110+EU110</f>
        <v/>
      </c>
      <c r="L131">
        <f>L110+V110+AF110+AP110+AZ110+BJ110+BT110+CD110+CN110+CX110+DH110+DR110+EB110+EL110+EV110</f>
        <v/>
      </c>
      <c r="N131">
        <f>AND(C131=C15,D131=D15,E131=E15,F131=F15,G131=G15,H131=H15,I131=I15,J131=J15,K131=K15,L131=L15)</f>
        <v/>
      </c>
      <c r="O131">
        <f>IF(N131,"✓ OK","✗ MISMATCH")</f>
        <v/>
      </c>
    </row>
    <row r="132">
      <c r="B132">
        <f>B111</f>
        <v/>
      </c>
      <c r="C132">
        <f>C111+M111+W111+AG111+AQ111+BA111+BK111+BU111+CE111+CO111+CY111+DI111+DS111+EC111+EM111</f>
        <v/>
      </c>
      <c r="D132">
        <f>D111+N111+X111+AH111+AR111+BB111+BL111+BV111+CF111+CP111+CZ111+DJ111+DT111+ED111+EN111</f>
        <v/>
      </c>
      <c r="E132">
        <f>E111+O111+Y111+AI111+AS111+BC111+BM111+BW111+CG111+CQ111+DA111+DK111+DU111+EE111+EO111</f>
        <v/>
      </c>
      <c r="F132">
        <f>F111+P111+Z111+AJ111+AT111+BD111+BN111+BX111+CH111+CR111+DB111+DL111+DV111+EF111+EP111</f>
        <v/>
      </c>
      <c r="G132">
        <f>G111+Q111+AA111+AK111+AU111+BE111+BO111+BY111+CI111+CS111+DC111+DM111+DW111+EG111+EQ111</f>
        <v/>
      </c>
      <c r="H132">
        <f>H111+R111+AB111+AL111+AV111+BF111+BP111+BZ111+CJ111+CT111+DD111+DN111+DX111+EH111+ER111</f>
        <v/>
      </c>
      <c r="I132">
        <f>I111+S111+AC111+AM111+AW111+BG111+BQ111+CA111+CK111+CU111+DE111+DO111+DY111+EI111+ES111</f>
        <v/>
      </c>
      <c r="J132">
        <f>J111+T111+AD111+AN111+AX111+BH111+BR111+CB111+CL111+CV111+DF111+DP111+DZ111+EJ111+ET111</f>
        <v/>
      </c>
      <c r="K132">
        <f>K111+U111+AE111+AO111+AY111+BI111+BS111+CC111+CM111+CW111+DG111+DQ111+EA111+EK111+EU111</f>
        <v/>
      </c>
      <c r="L132">
        <f>L111+V111+AF111+AP111+AZ111+BJ111+BT111+CD111+CN111+CX111+DH111+DR111+EB111+EL111+EV111</f>
        <v/>
      </c>
      <c r="N132">
        <f>AND(C132=C16,D132=D16,E132=E16,F132=F16,G132=G16,H132=H16,I132=I16,J132=J16,K132=K16,L132=L16)</f>
        <v/>
      </c>
      <c r="O132">
        <f>IF(N132,"✓ OK","✗ MISMATCH")</f>
        <v/>
      </c>
    </row>
    <row r="133">
      <c r="B133">
        <f>B112</f>
        <v/>
      </c>
      <c r="C133">
        <f>C112+M112+W112+AG112+AQ112+BA112+BK112+BU112+CE112+CO112+CY112+DI112+DS112+EC112+EM112</f>
        <v/>
      </c>
      <c r="D133">
        <f>D112+N112+X112+AH112+AR112+BB112+BL112+BV112+CF112+CP112+CZ112+DJ112+DT112+ED112+EN112</f>
        <v/>
      </c>
      <c r="E133">
        <f>E112+O112+Y112+AI112+AS112+BC112+BM112+BW112+CG112+CQ112+DA112+DK112+DU112+EE112+EO112</f>
        <v/>
      </c>
      <c r="F133">
        <f>F112+P112+Z112+AJ112+AT112+BD112+BN112+BX112+CH112+CR112+DB112+DL112+DV112+EF112+EP112</f>
        <v/>
      </c>
      <c r="G133">
        <f>G112+Q112+AA112+AK112+AU112+BE112+BO112+BY112+CI112+CS112+DC112+DM112+DW112+EG112+EQ112</f>
        <v/>
      </c>
      <c r="H133">
        <f>H112+R112+AB112+AL112+AV112+BF112+BP112+BZ112+CJ112+CT112+DD112+DN112+DX112+EH112+ER112</f>
        <v/>
      </c>
      <c r="I133">
        <f>I112+S112+AC112+AM112+AW112+BG112+BQ112+CA112+CK112+CU112+DE112+DO112+DY112+EI112+ES112</f>
        <v/>
      </c>
      <c r="J133">
        <f>J112+T112+AD112+AN112+AX112+BH112+BR112+CB112+CL112+CV112+DF112+DP112+DZ112+EJ112+ET112</f>
        <v/>
      </c>
      <c r="K133">
        <f>K112+U112+AE112+AO112+AY112+BI112+BS112+CC112+CM112+CW112+DG112+DQ112+EA112+EK112+EU112</f>
        <v/>
      </c>
      <c r="L133">
        <f>L112+V112+AF112+AP112+AZ112+BJ112+BT112+CD112+CN112+CX112+DH112+DR112+EB112+EL112+EV112</f>
        <v/>
      </c>
      <c r="N133">
        <f>AND(C133=C17,D133=D17,E133=E17,F133=F17,G133=G17,H133=H17,I133=I17,J133=J17,K133=K17,L133=L17)</f>
        <v/>
      </c>
      <c r="O133">
        <f>IF(N133,"✓ OK","✗ MISMATCH")</f>
        <v/>
      </c>
    </row>
    <row r="134">
      <c r="B134">
        <f>B113</f>
        <v/>
      </c>
      <c r="C134">
        <f>C113+M113+W113+AG113+AQ113+BA113+BK113+BU113+CE113+CO113+CY113+DI113+DS113+EC113+EM113</f>
        <v/>
      </c>
      <c r="D134">
        <f>D113+N113+X113+AH113+AR113+BB113+BL113+BV113+CF113+CP113+CZ113+DJ113+DT113+ED113+EN113</f>
        <v/>
      </c>
      <c r="E134">
        <f>E113+O113+Y113+AI113+AS113+BC113+BM113+BW113+CG113+CQ113+DA113+DK113+DU113+EE113+EO113</f>
        <v/>
      </c>
      <c r="F134">
        <f>F113+P113+Z113+AJ113+AT113+BD113+BN113+BX113+CH113+CR113+DB113+DL113+DV113+EF113+EP113</f>
        <v/>
      </c>
      <c r="G134">
        <f>G113+Q113+AA113+AK113+AU113+BE113+BO113+BY113+CI113+CS113+DC113+DM113+DW113+EG113+EQ113</f>
        <v/>
      </c>
      <c r="H134">
        <f>H113+R113+AB113+AL113+AV113+BF113+BP113+BZ113+CJ113+CT113+DD113+DN113+DX113+EH113+ER113</f>
        <v/>
      </c>
      <c r="I134">
        <f>I113+S113+AC113+AM113+AW113+BG113+BQ113+CA113+CK113+CU113+DE113+DO113+DY113+EI113+ES113</f>
        <v/>
      </c>
      <c r="J134">
        <f>J113+T113+AD113+AN113+AX113+BH113+BR113+CB113+CL113+CV113+DF113+DP113+DZ113+EJ113+ET113</f>
        <v/>
      </c>
      <c r="K134">
        <f>K113+U113+AE113+AO113+AY113+BI113+BS113+CC113+CM113+CW113+DG113+DQ113+EA113+EK113+EU113</f>
        <v/>
      </c>
      <c r="L134">
        <f>L113+V113+AF113+AP113+AZ113+BJ113+BT113+CD113+CN113+CX113+DH113+DR113+EB113+EL113+EV113</f>
        <v/>
      </c>
      <c r="N134">
        <f>AND(C134=C18,D134=D18,E134=E18,F134=F18,G134=G18,H134=H18,I134=I18,J134=J18,K134=K18,L134=L18)</f>
        <v/>
      </c>
      <c r="O134">
        <f>IF(N134,"✓ OK","✗ MISMATCH")</f>
        <v/>
      </c>
    </row>
    <row r="135">
      <c r="B135">
        <f>B114</f>
        <v/>
      </c>
      <c r="C135">
        <f>C114+M114+W114+AG114+AQ114+BA114+BK114+BU114+CE114+CO114+CY114+DI114+DS114+EC114+EM114</f>
        <v/>
      </c>
      <c r="D135">
        <f>D114+N114+X114+AH114+AR114+BB114+BL114+BV114+CF114+CP114+CZ114+DJ114+DT114+ED114+EN114</f>
        <v/>
      </c>
      <c r="E135">
        <f>E114+O114+Y114+AI114+AS114+BC114+BM114+BW114+CG114+CQ114+DA114+DK114+DU114+EE114+EO114</f>
        <v/>
      </c>
      <c r="F135">
        <f>F114+P114+Z114+AJ114+AT114+BD114+BN114+BX114+CH114+CR114+DB114+DL114+DV114+EF114+EP114</f>
        <v/>
      </c>
      <c r="G135">
        <f>G114+Q114+AA114+AK114+AU114+BE114+BO114+BY114+CI114+CS114+DC114+DM114+DW114+EG114+EQ114</f>
        <v/>
      </c>
      <c r="H135">
        <f>H114+R114+AB114+AL114+AV114+BF114+BP114+BZ114+CJ114+CT114+DD114+DN114+DX114+EH114+ER114</f>
        <v/>
      </c>
      <c r="I135">
        <f>I114+S114+AC114+AM114+AW114+BG114+BQ114+CA114+CK114+CU114+DE114+DO114+DY114+EI114+ES114</f>
        <v/>
      </c>
      <c r="J135">
        <f>J114+T114+AD114+AN114+AX114+BH114+BR114+CB114+CL114+CV114+DF114+DP114+DZ114+EJ114+ET114</f>
        <v/>
      </c>
      <c r="K135">
        <f>K114+U114+AE114+AO114+AY114+BI114+BS114+CC114+CM114+CW114+DG114+DQ114+EA114+EK114+EU114</f>
        <v/>
      </c>
      <c r="L135">
        <f>L114+V114+AF114+AP114+AZ114+BJ114+BT114+CD114+CN114+CX114+DH114+DR114+EB114+EL114+EV114</f>
        <v/>
      </c>
      <c r="N135">
        <f>AND(C135=C19,D135=D19,E135=E19,F135=F19,G135=G19,H135=H19,I135=I19,J135=J19,K135=K19,L135=L19)</f>
        <v/>
      </c>
      <c r="O135">
        <f>IF(N135,"✓ OK","✗ MISMATCH")</f>
        <v/>
      </c>
    </row>
    <row r="137">
      <c r="A137" s="1" t="inlineStr">
        <is>
          <t>Line Time Utilization Check</t>
        </is>
      </c>
    </row>
    <row r="138">
      <c r="B138" s="1" t="inlineStr">
        <is>
          <t>Year</t>
        </is>
      </c>
      <c r="C138" s="1" t="inlineStr">
        <is>
          <t>L1 %</t>
        </is>
      </c>
      <c r="D138" s="1" t="inlineStr">
        <is>
          <t>L2 %</t>
        </is>
      </c>
      <c r="E138" s="1" t="inlineStr">
        <is>
          <t>L3 %</t>
        </is>
      </c>
      <c r="F138" s="1" t="inlineStr">
        <is>
          <t>L4 %</t>
        </is>
      </c>
      <c r="G138" s="1" t="inlineStr">
        <is>
          <t>L5 %</t>
        </is>
      </c>
      <c r="H138" s="1" t="inlineStr">
        <is>
          <t>L6 %</t>
        </is>
      </c>
      <c r="I138" s="1" t="inlineStr">
        <is>
          <t>Max ≤100%?</t>
        </is>
      </c>
    </row>
    <row r="139">
      <c r="B139">
        <f>B98</f>
        <v/>
      </c>
      <c r="C139" s="20">
        <f>(C98*C31/C49+D98*D31/D49+E98*E31/E49+F98*F31/F49+G98*G31/G49+H98*H31/H49+I98*I31/I49+J98*J31/J49+K98*K31/K49+L98*L31/L49)/B$27</f>
        <v/>
      </c>
      <c r="D139" s="20">
        <f>(M98*C32/C50+N98*D32/D50+O98*E32/E50+P98*F32/F50+Q98*G32/G50+R98*H32/H50+S98*I32/I50+T98*J32/J50+U98*K32/K50+V98*L32/L50)/B$27</f>
        <v/>
      </c>
      <c r="E139" s="20">
        <f>(W98*C33/C51+X98*D33/D51+Y98*E33/E51+Z98*F33/F51+AA98*G33/G51+AB98*H33/H51+AC98*I33/I51+AD98*J33/J51+AE98*K33/K51+AF98*L33/L51)/B$27</f>
        <v/>
      </c>
      <c r="F139" s="20">
        <f>(AG98*C34/C52+AH98*D34/D52+AI98*E34/E52+AJ98*F34/F52+AK98*G34/G52+AL98*H34/H52+AM98*I34/I52+AN98*J34/J52+AO98*K34/K52+AP98*L34/L52)/B$27</f>
        <v/>
      </c>
      <c r="G139" s="20">
        <f>(AQ98*C35/C53+AR98*D35/D53+AS98*E35/E53+AT98*F35/F53+AU98*G35/G53+AV98*H35/H53+AW98*I35/I53+AX98*J35/J53+AY98*K35/K53+AZ98*L35/L53)/B$27</f>
        <v/>
      </c>
      <c r="H139" s="20">
        <f>(BA98*C36/C54+BB98*D36/D54+BC98*E36/E54+BD98*F36/F54+BE98*G36/G54+BF98*H36/H54+BG98*I36/I54+BH98*J36/J54+BI98*K36/K54+BJ98*L36/L54)/B$27</f>
        <v/>
      </c>
      <c r="I139">
        <f>IF(MAX(C139:H139)&lt;=1,"✓","✗ OVER")</f>
        <v/>
      </c>
    </row>
    <row r="140">
      <c r="B140">
        <f>B99</f>
        <v/>
      </c>
      <c r="C140" s="20">
        <f>(C99*C31/C49+D99*D31/D49+E99*E31/E49+F99*F31/F49+G99*G31/G49+H99*H31/H49+I99*I31/I49+J99*J31/J49+K99*K31/K49+L99*L31/L49)/B$27</f>
        <v/>
      </c>
      <c r="D140" s="20">
        <f>(M99*C32/C50+N99*D32/D50+O99*E32/E50+P99*F32/F50+Q99*G32/G50+R99*H32/H50+S99*I32/I50+T99*J32/J50+U99*K32/K50+V99*L32/L50)/B$27</f>
        <v/>
      </c>
      <c r="E140" s="20">
        <f>(W99*C33/C51+X99*D33/D51+Y99*E33/E51+Z99*F33/F51+AA99*G33/G51+AB99*H33/H51+AC99*I33/I51+AD99*J33/J51+AE99*K33/K51+AF99*L33/L51)/B$27</f>
        <v/>
      </c>
      <c r="F140" s="20">
        <f>(AG99*C34/C52+AH99*D34/D52+AI99*E34/E52+AJ99*F34/F52+AK99*G34/G52+AL99*H34/H52+AM99*I34/I52+AN99*J34/J52+AO99*K34/K52+AP99*L34/L52)/B$27</f>
        <v/>
      </c>
      <c r="G140" s="20">
        <f>(AQ99*C35/C53+AR99*D35/D53+AS99*E35/E53+AT99*F35/F53+AU99*G35/G53+AV99*H35/H53+AW99*I35/I53+AX99*J35/J53+AY99*K35/K53+AZ99*L35/L53)/B$27</f>
        <v/>
      </c>
      <c r="H140" s="20">
        <f>(BA99*C36/C54+BB99*D36/D54+BC99*E36/E54+BD99*F36/F54+BE99*G36/G54+BF99*H36/H54+BG99*I36/I54+BH99*J36/J54+BI99*K36/K54+BJ99*L36/L54)/B$27</f>
        <v/>
      </c>
      <c r="I140">
        <f>IF(MAX(C140:H140)&lt;=1,"✓","✗ OVER")</f>
        <v/>
      </c>
    </row>
    <row r="141">
      <c r="B141">
        <f>B100</f>
        <v/>
      </c>
      <c r="C141" s="20">
        <f>(C100*C31/C49+D100*D31/D49+E100*E31/E49+F100*F31/F49+G100*G31/G49+H100*H31/H49+I100*I31/I49+J100*J31/J49+K100*K31/K49+L100*L31/L49)/B$27</f>
        <v/>
      </c>
      <c r="D141" s="20">
        <f>(M100*C32/C50+N100*D32/D50+O100*E32/E50+P100*F32/F50+Q100*G32/G50+R100*H32/H50+S100*I32/I50+T100*J32/J50+U100*K32/K50+V100*L32/L50)/B$27</f>
        <v/>
      </c>
      <c r="E141" s="20">
        <f>(W100*C33/C51+X100*D33/D51+Y100*E33/E51+Z100*F33/F51+AA100*G33/G51+AB100*H33/H51+AC100*I33/I51+AD100*J33/J51+AE100*K33/K51+AF100*L33/L51)/B$27</f>
        <v/>
      </c>
      <c r="F141" s="20">
        <f>(AG100*C34/C52+AH100*D34/D52+AI100*E34/E52+AJ100*F34/F52+AK100*G34/G52+AL100*H34/H52+AM100*I34/I52+AN100*J34/J52+AO100*K34/K52+AP100*L34/L52)/B$27</f>
        <v/>
      </c>
      <c r="G141" s="20">
        <f>(AQ100*C35/C53+AR100*D35/D53+AS100*E35/E53+AT100*F35/F53+AU100*G35/G53+AV100*H35/H53+AW100*I35/I53+AX100*J35/J53+AY100*K35/K53+AZ100*L35/L53)/B$27</f>
        <v/>
      </c>
      <c r="H141" s="20">
        <f>(BA100*C36/C54+BB100*D36/D54+BC100*E36/E54+BD100*F36/F54+BE100*G36/G54+BF100*H36/H54+BG100*I36/I54+BH100*J36/J54+BI100*K36/K54+BJ100*L36/L54)/B$27</f>
        <v/>
      </c>
      <c r="I141">
        <f>IF(MAX(C141:H141)&lt;=1,"✓","✗ OVER")</f>
        <v/>
      </c>
    </row>
    <row r="142">
      <c r="B142">
        <f>B101</f>
        <v/>
      </c>
      <c r="C142" s="20">
        <f>(C101*C31/C49+D101*D31/D49+E101*E31/E49+F101*F31/F49+G101*G31/G49+H101*H31/H49+I101*I31/I49+J101*J31/J49+K101*K31/K49+L101*L31/L49)/B$27</f>
        <v/>
      </c>
      <c r="D142" s="20">
        <f>(M101*C32/C50+N101*D32/D50+O101*E32/E50+P101*F32/F50+Q101*G32/G50+R101*H32/H50+S101*I32/I50+T101*J32/J50+U101*K32/K50+V101*L32/L50)/B$27</f>
        <v/>
      </c>
      <c r="E142" s="20">
        <f>(W101*C33/C51+X101*D33/D51+Y101*E33/E51+Z101*F33/F51+AA101*G33/G51+AB101*H33/H51+AC101*I33/I51+AD101*J33/J51+AE101*K33/K51+AF101*L33/L51)/B$27</f>
        <v/>
      </c>
      <c r="F142" s="20">
        <f>(AG101*C34/C52+AH101*D34/D52+AI101*E34/E52+AJ101*F34/F52+AK101*G34/G52+AL101*H34/H52+AM101*I34/I52+AN101*J34/J52+AO101*K34/K52+AP101*L34/L52)/B$27</f>
        <v/>
      </c>
      <c r="G142" s="20">
        <f>(AQ101*C35/C53+AR101*D35/D53+AS101*E35/E53+AT101*F35/F53+AU101*G35/G53+AV101*H35/H53+AW101*I35/I53+AX101*J35/J53+AY101*K35/K53+AZ101*L35/L53)/B$27</f>
        <v/>
      </c>
      <c r="H142" s="20">
        <f>(BA101*C36/C54+BB101*D36/D54+BC101*E36/E54+BD101*F36/F54+BE101*G36/G54+BF101*H36/H54+BG101*I36/I54+BH101*J36/J54+BI101*K36/K54+BJ101*L36/L54)/B$27</f>
        <v/>
      </c>
      <c r="I142">
        <f>IF(MAX(C142:H142)&lt;=1,"✓","✗ OVER")</f>
        <v/>
      </c>
    </row>
    <row r="143">
      <c r="B143">
        <f>B102</f>
        <v/>
      </c>
      <c r="C143" s="20">
        <f>(C102*C31/C49+D102*D31/D49+E102*E31/E49+F102*F31/F49+G102*G31/G49+H102*H31/H49+I102*I31/I49+J102*J31/J49+K102*K31/K49+L102*L31/L49)/B$27</f>
        <v/>
      </c>
      <c r="D143" s="20">
        <f>(M102*C32/C50+N102*D32/D50+O102*E32/E50+P102*F32/F50+Q102*G32/G50+R102*H32/H50+S102*I32/I50+T102*J32/J50+U102*K32/K50+V102*L32/L50)/B$27</f>
        <v/>
      </c>
      <c r="E143" s="20">
        <f>(W102*C33/C51+X102*D33/D51+Y102*E33/E51+Z102*F33/F51+AA102*G33/G51+AB102*H33/H51+AC102*I33/I51+AD102*J33/J51+AE102*K33/K51+AF102*L33/L51)/B$27</f>
        <v/>
      </c>
      <c r="F143" s="20">
        <f>(AG102*C34/C52+AH102*D34/D52+AI102*E34/E52+AJ102*F34/F52+AK102*G34/G52+AL102*H34/H52+AM102*I34/I52+AN102*J34/J52+AO102*K34/K52+AP102*L34/L52)/B$27</f>
        <v/>
      </c>
      <c r="G143" s="20">
        <f>(AQ102*C35/C53+AR102*D35/D53+AS102*E35/E53+AT102*F35/F53+AU102*G35/G53+AV102*H35/H53+AW102*I35/I53+AX102*J35/J53+AY102*K35/K53+AZ102*L35/L53)/B$27</f>
        <v/>
      </c>
      <c r="H143" s="20">
        <f>(BA102*C36/C54+BB102*D36/D54+BC102*E36/E54+BD102*F36/F54+BE102*G36/G54+BF102*H36/H54+BG102*I36/I54+BH102*J36/J54+BI102*K36/K54+BJ102*L36/L54)/B$27</f>
        <v/>
      </c>
      <c r="I143">
        <f>IF(MAX(C143:H143)&lt;=1,"✓","✗ OVER")</f>
        <v/>
      </c>
    </row>
    <row r="144">
      <c r="B144">
        <f>B103</f>
        <v/>
      </c>
      <c r="C144" s="20">
        <f>(C103*C31/C49+D103*D31/D49+E103*E31/E49+F103*F31/F49+G103*G31/G49+H103*H31/H49+I103*I31/I49+J103*J31/J49+K103*K31/K49+L103*L31/L49)/B$27</f>
        <v/>
      </c>
      <c r="D144" s="20">
        <f>(M103*C32/C50+N103*D32/D50+O103*E32/E50+P103*F32/F50+Q103*G32/G50+R103*H32/H50+S103*I32/I50+T103*J32/J50+U103*K32/K50+V103*L32/L50)/B$27</f>
        <v/>
      </c>
      <c r="E144" s="20">
        <f>(W103*C33/C51+X103*D33/D51+Y103*E33/E51+Z103*F33/F51+AA103*G33/G51+AB103*H33/H51+AC103*I33/I51+AD103*J33/J51+AE103*K33/K51+AF103*L33/L51)/B$27</f>
        <v/>
      </c>
      <c r="F144" s="20">
        <f>(AG103*C34/C52+AH103*D34/D52+AI103*E34/E52+AJ103*F34/F52+AK103*G34/G52+AL103*H34/H52+AM103*I34/I52+AN103*J34/J52+AO103*K34/K52+AP103*L34/L52)/B$27</f>
        <v/>
      </c>
      <c r="G144" s="20">
        <f>(AQ103*C35/C53+AR103*D35/D53+AS103*E35/E53+AT103*F35/F53+AU103*G35/G53+AV103*H35/H53+AW103*I35/I53+AX103*J35/J53+AY103*K35/K53+AZ103*L35/L53)/B$27</f>
        <v/>
      </c>
      <c r="H144" s="20">
        <f>(BA103*C36/C54+BB103*D36/D54+BC103*E36/E54+BD103*F36/F54+BE103*G36/G54+BF103*H36/H54+BG103*I36/I54+BH103*J36/J54+BI103*K36/K54+BJ103*L36/L54)/B$27</f>
        <v/>
      </c>
      <c r="I144">
        <f>IF(MAX(C144:H144)&lt;=1,"✓","✗ OVER")</f>
        <v/>
      </c>
    </row>
    <row r="145">
      <c r="B145">
        <f>B104</f>
        <v/>
      </c>
      <c r="C145" s="20">
        <f>(C104*C31/C49+D104*D31/D49+E104*E31/E49+F104*F31/F49+G104*G31/G49+H104*H31/H49+I104*I31/I49+J104*J31/J49+K104*K31/K49+L104*L31/L49)/B$27</f>
        <v/>
      </c>
      <c r="D145" s="20">
        <f>(M104*C32/C50+N104*D32/D50+O104*E32/E50+P104*F32/F50+Q104*G32/G50+R104*H32/H50+S104*I32/I50+T104*J32/J50+U104*K32/K50+V104*L32/L50)/B$27</f>
        <v/>
      </c>
      <c r="E145" s="20">
        <f>(W104*C33/C51+X104*D33/D51+Y104*E33/E51+Z104*F33/F51+AA104*G33/G51+AB104*H33/H51+AC104*I33/I51+AD104*J33/J51+AE104*K33/K51+AF104*L33/L51)/B$27</f>
        <v/>
      </c>
      <c r="F145" s="20">
        <f>(AG104*C34/C52+AH104*D34/D52+AI104*E34/E52+AJ104*F34/F52+AK104*G34/G52+AL104*H34/H52+AM104*I34/I52+AN104*J34/J52+AO104*K34/K52+AP104*L34/L52)/B$27</f>
        <v/>
      </c>
      <c r="G145" s="20">
        <f>(AQ104*C35/C53+AR104*D35/D53+AS104*E35/E53+AT104*F35/F53+AU104*G35/G53+AV104*H35/H53+AW104*I35/I53+AX104*J35/J53+AY104*K35/K53+AZ104*L35/L53)/B$27</f>
        <v/>
      </c>
      <c r="H145" s="20">
        <f>(BA104*C36/C54+BB104*D36/D54+BC104*E36/E54+BD104*F36/F54+BE104*G36/G54+BF104*H36/H54+BG104*I36/I54+BH104*J36/J54+BI104*K36/K54+BJ104*L36/L54)/B$27</f>
        <v/>
      </c>
      <c r="I145">
        <f>IF(MAX(C145:H145)&lt;=1,"✓","✗ OVER")</f>
        <v/>
      </c>
    </row>
    <row r="146">
      <c r="B146">
        <f>B105</f>
        <v/>
      </c>
      <c r="C146" s="20">
        <f>(C105*C31/C49+D105*D31/D49+E105*E31/E49+F105*F31/F49+G105*G31/G49+H105*H31/H49+I105*I31/I49+J105*J31/J49+K105*K31/K49+L105*L31/L49)/B$27</f>
        <v/>
      </c>
      <c r="D146" s="20">
        <f>(M105*C32/C50+N105*D32/D50+O105*E32/E50+P105*F32/F50+Q105*G32/G50+R105*H32/H50+S105*I32/I50+T105*J32/J50+U105*K32/K50+V105*L32/L50)/B$27</f>
        <v/>
      </c>
      <c r="E146" s="20">
        <f>(W105*C33/C51+X105*D33/D51+Y105*E33/E51+Z105*F33/F51+AA105*G33/G51+AB105*H33/H51+AC105*I33/I51+AD105*J33/J51+AE105*K33/K51+AF105*L33/L51)/B$27</f>
        <v/>
      </c>
      <c r="F146" s="20">
        <f>(AG105*C34/C52+AH105*D34/D52+AI105*E34/E52+AJ105*F34/F52+AK105*G34/G52+AL105*H34/H52+AM105*I34/I52+AN105*J34/J52+AO105*K34/K52+AP105*L34/L52)/B$27</f>
        <v/>
      </c>
      <c r="G146" s="20">
        <f>(AQ105*C35/C53+AR105*D35/D53+AS105*E35/E53+AT105*F35/F53+AU105*G35/G53+AV105*H35/H53+AW105*I35/I53+AX105*J35/J53+AY105*K35/K53+AZ105*L35/L53)/B$27</f>
        <v/>
      </c>
      <c r="H146" s="20">
        <f>(BA105*C36/C54+BB105*D36/D54+BC105*E36/E54+BD105*F36/F54+BE105*G36/G54+BF105*H36/H54+BG105*I36/I54+BH105*J36/J54+BI105*K36/K54+BJ105*L36/L54)/B$27</f>
        <v/>
      </c>
      <c r="I146">
        <f>IF(MAX(C146:H146)&lt;=1,"✓","✗ OVER")</f>
        <v/>
      </c>
    </row>
    <row r="147">
      <c r="B147">
        <f>B106</f>
        <v/>
      </c>
      <c r="C147" s="20">
        <f>(C106*C31/C49+D106*D31/D49+E106*E31/E49+F106*F31/F49+G106*G31/G49+H106*H31/H49+I106*I31/I49+J106*J31/J49+K106*K31/K49+L106*L31/L49)/B$27</f>
        <v/>
      </c>
      <c r="D147" s="20">
        <f>(M106*C32/C50+N106*D32/D50+O106*E32/E50+P106*F32/F50+Q106*G32/G50+R106*H32/H50+S106*I32/I50+T106*J32/J50+U106*K32/K50+V106*L32/L50)/B$27</f>
        <v/>
      </c>
      <c r="E147" s="20">
        <f>(W106*C33/C51+X106*D33/D51+Y106*E33/E51+Z106*F33/F51+AA106*G33/G51+AB106*H33/H51+AC106*I33/I51+AD106*J33/J51+AE106*K33/K51+AF106*L33/L51)/B$27</f>
        <v/>
      </c>
      <c r="F147" s="20">
        <f>(AG106*C34/C52+AH106*D34/D52+AI106*E34/E52+AJ106*F34/F52+AK106*G34/G52+AL106*H34/H52+AM106*I34/I52+AN106*J34/J52+AO106*K34/K52+AP106*L34/L52)/B$27</f>
        <v/>
      </c>
      <c r="G147" s="20">
        <f>(AQ106*C35/C53+AR106*D35/D53+AS106*E35/E53+AT106*F35/F53+AU106*G35/G53+AV106*H35/H53+AW106*I35/I53+AX106*J35/J53+AY106*K35/K53+AZ106*L35/L53)/B$27</f>
        <v/>
      </c>
      <c r="H147" s="20">
        <f>(BA106*C36/C54+BB106*D36/D54+BC106*E36/E54+BD106*F36/F54+BE106*G36/G54+BF106*H36/H54+BG106*I36/I54+BH106*J36/J54+BI106*K36/K54+BJ106*L36/L54)/B$27</f>
        <v/>
      </c>
      <c r="I147">
        <f>IF(MAX(C147:H147)&lt;=1,"✓","✗ OVER")</f>
        <v/>
      </c>
    </row>
    <row r="148">
      <c r="B148">
        <f>B107</f>
        <v/>
      </c>
      <c r="C148" s="20">
        <f>(C107*C31/C49+D107*D31/D49+E107*E31/E49+F107*F31/F49+G107*G31/G49+H107*H31/H49+I107*I31/I49+J107*J31/J49+K107*K31/K49+L107*L31/L49)/B$27</f>
        <v/>
      </c>
      <c r="D148" s="20">
        <f>(M107*C32/C50+N107*D32/D50+O107*E32/E50+P107*F32/F50+Q107*G32/G50+R107*H32/H50+S107*I32/I50+T107*J32/J50+U107*K32/K50+V107*L32/L50)/B$27</f>
        <v/>
      </c>
      <c r="E148" s="20">
        <f>(W107*C33/C51+X107*D33/D51+Y107*E33/E51+Z107*F33/F51+AA107*G33/G51+AB107*H33/H51+AC107*I33/I51+AD107*J33/J51+AE107*K33/K51+AF107*L33/L51)/B$27</f>
        <v/>
      </c>
      <c r="F148" s="20">
        <f>(AG107*C34/C52+AH107*D34/D52+AI107*E34/E52+AJ107*F34/F52+AK107*G34/G52+AL107*H34/H52+AM107*I34/I52+AN107*J34/J52+AO107*K34/K52+AP107*L34/L52)/B$27</f>
        <v/>
      </c>
      <c r="G148" s="20">
        <f>(AQ107*C35/C53+AR107*D35/D53+AS107*E35/E53+AT107*F35/F53+AU107*G35/G53+AV107*H35/H53+AW107*I35/I53+AX107*J35/J53+AY107*K35/K53+AZ107*L35/L53)/B$27</f>
        <v/>
      </c>
      <c r="H148" s="20">
        <f>(BA107*C36/C54+BB107*D36/D54+BC107*E36/E54+BD107*F36/F54+BE107*G36/G54+BF107*H36/H54+BG107*I36/I54+BH107*J36/J54+BI107*K36/K54+BJ107*L36/L54)/B$27</f>
        <v/>
      </c>
      <c r="I148">
        <f>IF(MAX(C148:H148)&lt;=1,"✓","✗ OVER")</f>
        <v/>
      </c>
    </row>
    <row r="149">
      <c r="B149">
        <f>B108</f>
        <v/>
      </c>
      <c r="C149" s="20">
        <f>(C108*C31/C49+D108*D31/D49+E108*E31/E49+F108*F31/F49+G108*G31/G49+H108*H31/H49+I108*I31/I49+J108*J31/J49+K108*K31/K49+L108*L31/L49)/B$27</f>
        <v/>
      </c>
      <c r="D149" s="20">
        <f>(M108*C32/C50+N108*D32/D50+O108*E32/E50+P108*F32/F50+Q108*G32/G50+R108*H32/H50+S108*I32/I50+T108*J32/J50+U108*K32/K50+V108*L32/L50)/B$27</f>
        <v/>
      </c>
      <c r="E149" s="20">
        <f>(W108*C33/C51+X108*D33/D51+Y108*E33/E51+Z108*F33/F51+AA108*G33/G51+AB108*H33/H51+AC108*I33/I51+AD108*J33/J51+AE108*K33/K51+AF108*L33/L51)/B$27</f>
        <v/>
      </c>
      <c r="F149" s="20">
        <f>(AG108*C34/C52+AH108*D34/D52+AI108*E34/E52+AJ108*F34/F52+AK108*G34/G52+AL108*H34/H52+AM108*I34/I52+AN108*J34/J52+AO108*K34/K52+AP108*L34/L52)/B$27</f>
        <v/>
      </c>
      <c r="G149" s="20">
        <f>(AQ108*C35/C53+AR108*D35/D53+AS108*E35/E53+AT108*F35/F53+AU108*G35/G53+AV108*H35/H53+AW108*I35/I53+AX108*J35/J53+AY108*K35/K53+AZ108*L35/L53)/B$27</f>
        <v/>
      </c>
      <c r="H149" s="20">
        <f>(BA108*C36/C54+BB108*D36/D54+BC108*E36/E54+BD108*F36/F54+BE108*G36/G54+BF108*H36/H54+BG108*I36/I54+BH108*J36/J54+BI108*K36/K54+BJ108*L36/L54)/B$27</f>
        <v/>
      </c>
      <c r="I149">
        <f>IF(MAX(C149:H149)&lt;=1,"✓","✗ OVER")</f>
        <v/>
      </c>
    </row>
    <row r="150">
      <c r="B150">
        <f>B109</f>
        <v/>
      </c>
      <c r="C150" s="20">
        <f>(C109*C31/C49+D109*D31/D49+E109*E31/E49+F109*F31/F49+G109*G31/G49+H109*H31/H49+I109*I31/I49+J109*J31/J49+K109*K31/K49+L109*L31/L49)/B$27</f>
        <v/>
      </c>
      <c r="D150" s="20">
        <f>(M109*C32/C50+N109*D32/D50+O109*E32/E50+P109*F32/F50+Q109*G32/G50+R109*H32/H50+S109*I32/I50+T109*J32/J50+U109*K32/K50+V109*L32/L50)/B$27</f>
        <v/>
      </c>
      <c r="E150" s="20">
        <f>(W109*C33/C51+X109*D33/D51+Y109*E33/E51+Z109*F33/F51+AA109*G33/G51+AB109*H33/H51+AC109*I33/I51+AD109*J33/J51+AE109*K33/K51+AF109*L33/L51)/B$27</f>
        <v/>
      </c>
      <c r="F150" s="20">
        <f>(AG109*C34/C52+AH109*D34/D52+AI109*E34/E52+AJ109*F34/F52+AK109*G34/G52+AL109*H34/H52+AM109*I34/I52+AN109*J34/J52+AO109*K34/K52+AP109*L34/L52)/B$27</f>
        <v/>
      </c>
      <c r="G150" s="20">
        <f>(AQ109*C35/C53+AR109*D35/D53+AS109*E35/E53+AT109*F35/F53+AU109*G35/G53+AV109*H35/H53+AW109*I35/I53+AX109*J35/J53+AY109*K35/K53+AZ109*L35/L53)/B$27</f>
        <v/>
      </c>
      <c r="H150" s="20">
        <f>(BA109*C36/C54+BB109*D36/D54+BC109*E36/E54+BD109*F36/F54+BE109*G36/G54+BF109*H36/H54+BG109*I36/I54+BH109*J36/J54+BI109*K36/K54+BJ109*L36/L54)/B$27</f>
        <v/>
      </c>
      <c r="I150">
        <f>IF(MAX(C150:H150)&lt;=1,"✓","✗ OVER")</f>
        <v/>
      </c>
    </row>
    <row r="151">
      <c r="B151">
        <f>B110</f>
        <v/>
      </c>
      <c r="C151" s="20">
        <f>(C110*C31/C49+D110*D31/D49+E110*E31/E49+F110*F31/F49+G110*G31/G49+H110*H31/H49+I110*I31/I49+J110*J31/J49+K110*K31/K49+L110*L31/L49)/B$27</f>
        <v/>
      </c>
      <c r="D151" s="20">
        <f>(M110*C32/C50+N110*D32/D50+O110*E32/E50+P110*F32/F50+Q110*G32/G50+R110*H32/H50+S110*I32/I50+T110*J32/J50+U110*K32/K50+V110*L32/L50)/B$27</f>
        <v/>
      </c>
      <c r="E151" s="20">
        <f>(W110*C33/C51+X110*D33/D51+Y110*E33/E51+Z110*F33/F51+AA110*G33/G51+AB110*H33/H51+AC110*I33/I51+AD110*J33/J51+AE110*K33/K51+AF110*L33/L51)/B$27</f>
        <v/>
      </c>
      <c r="F151" s="20">
        <f>(AG110*C34/C52+AH110*D34/D52+AI110*E34/E52+AJ110*F34/F52+AK110*G34/G52+AL110*H34/H52+AM110*I34/I52+AN110*J34/J52+AO110*K34/K52+AP110*L34/L52)/B$27</f>
        <v/>
      </c>
      <c r="G151" s="20">
        <f>(AQ110*C35/C53+AR110*D35/D53+AS110*E35/E53+AT110*F35/F53+AU110*G35/G53+AV110*H35/H53+AW110*I35/I53+AX110*J35/J53+AY110*K35/K53+AZ110*L35/L53)/B$27</f>
        <v/>
      </c>
      <c r="H151" s="20">
        <f>(BA110*C36/C54+BB110*D36/D54+BC110*E36/E54+BD110*F36/F54+BE110*G36/G54+BF110*H36/H54+BG110*I36/I54+BH110*J36/J54+BI110*K36/K54+BJ110*L36/L54)/B$27</f>
        <v/>
      </c>
      <c r="I151">
        <f>IF(MAX(C151:H151)&lt;=1,"✓","✗ OVER")</f>
        <v/>
      </c>
    </row>
    <row r="152">
      <c r="B152">
        <f>B111</f>
        <v/>
      </c>
      <c r="C152" s="20">
        <f>(C111*C31/C49+D111*D31/D49+E111*E31/E49+F111*F31/F49+G111*G31/G49+H111*H31/H49+I111*I31/I49+J111*J31/J49+K111*K31/K49+L111*L31/L49)/B$27</f>
        <v/>
      </c>
      <c r="D152" s="20">
        <f>(M111*C32/C50+N111*D32/D50+O111*E32/E50+P111*F32/F50+Q111*G32/G50+R111*H32/H50+S111*I32/I50+T111*J32/J50+U111*K32/K50+V111*L32/L50)/B$27</f>
        <v/>
      </c>
      <c r="E152" s="20">
        <f>(W111*C33/C51+X111*D33/D51+Y111*E33/E51+Z111*F33/F51+AA111*G33/G51+AB111*H33/H51+AC111*I33/I51+AD111*J33/J51+AE111*K33/K51+AF111*L33/L51)/B$27</f>
        <v/>
      </c>
      <c r="F152" s="20">
        <f>(AG111*C34/C52+AH111*D34/D52+AI111*E34/E52+AJ111*F34/F52+AK111*G34/G52+AL111*H34/H52+AM111*I34/I52+AN111*J34/J52+AO111*K34/K52+AP111*L34/L52)/B$27</f>
        <v/>
      </c>
      <c r="G152" s="20">
        <f>(AQ111*C35/C53+AR111*D35/D53+AS111*E35/E53+AT111*F35/F53+AU111*G35/G53+AV111*H35/H53+AW111*I35/I53+AX111*J35/J53+AY111*K35/K53+AZ111*L35/L53)/B$27</f>
        <v/>
      </c>
      <c r="H152" s="20">
        <f>(BA111*C36/C54+BB111*D36/D54+BC111*E36/E54+BD111*F36/F54+BE111*G36/G54+BF111*H36/H54+BG111*I36/I54+BH111*J36/J54+BI111*K36/K54+BJ111*L36/L54)/B$27</f>
        <v/>
      </c>
      <c r="I152">
        <f>IF(MAX(C152:H152)&lt;=1,"✓","✗ OVER")</f>
        <v/>
      </c>
    </row>
    <row r="153">
      <c r="B153">
        <f>B112</f>
        <v/>
      </c>
      <c r="C153" s="20">
        <f>(C112*C31/C49+D112*D31/D49+E112*E31/E49+F112*F31/F49+G112*G31/G49+H112*H31/H49+I112*I31/I49+J112*J31/J49+K112*K31/K49+L112*L31/L49)/B$27</f>
        <v/>
      </c>
      <c r="D153" s="20">
        <f>(M112*C32/C50+N112*D32/D50+O112*E32/E50+P112*F32/F50+Q112*G32/G50+R112*H32/H50+S112*I32/I50+T112*J32/J50+U112*K32/K50+V112*L32/L50)/B$27</f>
        <v/>
      </c>
      <c r="E153" s="20">
        <f>(W112*C33/C51+X112*D33/D51+Y112*E33/E51+Z112*F33/F51+AA112*G33/G51+AB112*H33/H51+AC112*I33/I51+AD112*J33/J51+AE112*K33/K51+AF112*L33/L51)/B$27</f>
        <v/>
      </c>
      <c r="F153" s="20">
        <f>(AG112*C34/C52+AH112*D34/D52+AI112*E34/E52+AJ112*F34/F52+AK112*G34/G52+AL112*H34/H52+AM112*I34/I52+AN112*J34/J52+AO112*K34/K52+AP112*L34/L52)/B$27</f>
        <v/>
      </c>
      <c r="G153" s="20">
        <f>(AQ112*C35/C53+AR112*D35/D53+AS112*E35/E53+AT112*F35/F53+AU112*G35/G53+AV112*H35/H53+AW112*I35/I53+AX112*J35/J53+AY112*K35/K53+AZ112*L35/L53)/B$27</f>
        <v/>
      </c>
      <c r="H153" s="20">
        <f>(BA112*C36/C54+BB112*D36/D54+BC112*E36/E54+BD112*F36/F54+BE112*G36/G54+BF112*H36/H54+BG112*I36/I54+BH112*J36/J54+BI112*K36/K54+BJ112*L36/L54)/B$27</f>
        <v/>
      </c>
      <c r="I153">
        <f>IF(MAX(C153:H153)&lt;=1,"✓","✗ OVER")</f>
        <v/>
      </c>
    </row>
    <row r="154">
      <c r="B154">
        <f>B113</f>
        <v/>
      </c>
      <c r="C154" s="20">
        <f>(C113*C31/C49+D113*D31/D49+E113*E31/E49+F113*F31/F49+G113*G31/G49+H113*H31/H49+I113*I31/I49+J113*J31/J49+K113*K31/K49+L113*L31/L49)/B$27</f>
        <v/>
      </c>
      <c r="D154" s="20">
        <f>(M113*C32/C50+N113*D32/D50+O113*E32/E50+P113*F32/F50+Q113*G32/G50+R113*H32/H50+S113*I32/I50+T113*J32/J50+U113*K32/K50+V113*L32/L50)/B$27</f>
        <v/>
      </c>
      <c r="E154" s="20">
        <f>(W113*C33/C51+X113*D33/D51+Y113*E33/E51+Z113*F33/F51+AA113*G33/G51+AB113*H33/H51+AC113*I33/I51+AD113*J33/J51+AE113*K33/K51+AF113*L33/L51)/B$27</f>
        <v/>
      </c>
      <c r="F154" s="20">
        <f>(AG113*C34/C52+AH113*D34/D52+AI113*E34/E52+AJ113*F34/F52+AK113*G34/G52+AL113*H34/H52+AM113*I34/I52+AN113*J34/J52+AO113*K34/K52+AP113*L34/L52)/B$27</f>
        <v/>
      </c>
      <c r="G154" s="20">
        <f>(AQ113*C35/C53+AR113*D35/D53+AS113*E35/E53+AT113*F35/F53+AU113*G35/G53+AV113*H35/H53+AW113*I35/I53+AX113*J35/J53+AY113*K35/K53+AZ113*L35/L53)/B$27</f>
        <v/>
      </c>
      <c r="H154" s="20">
        <f>(BA113*C36/C54+BB113*D36/D54+BC113*E36/E54+BD113*F36/F54+BE113*G36/G54+BF113*H36/H54+BG113*I36/I54+BH113*J36/J54+BI113*K36/K54+BJ113*L36/L54)/B$27</f>
        <v/>
      </c>
      <c r="I154">
        <f>IF(MAX(C154:H154)&lt;=1,"✓","✗ OVER")</f>
        <v/>
      </c>
    </row>
    <row r="155">
      <c r="B155">
        <f>B114</f>
        <v/>
      </c>
      <c r="C155" s="20">
        <f>(C114*C31/C49+D114*D31/D49+E114*E31/E49+F114*F31/F49+G114*G31/G49+H114*H31/H49+I114*I31/I49+J114*J31/J49+K114*K31/K49+L114*L31/L49)/B$27</f>
        <v/>
      </c>
      <c r="D155" s="20">
        <f>(M114*C32/C50+N114*D32/D50+O114*E32/E50+P114*F32/F50+Q114*G32/G50+R114*H32/H50+S114*I32/I50+T114*J32/J50+U114*K32/K50+V114*L32/L50)/B$27</f>
        <v/>
      </c>
      <c r="E155" s="20">
        <f>(W114*C33/C51+X114*D33/D51+Y114*E33/E51+Z114*F33/F51+AA114*G33/G51+AB114*H33/H51+AC114*I33/I51+AD114*J33/J51+AE114*K33/K51+AF114*L33/L51)/B$27</f>
        <v/>
      </c>
      <c r="F155" s="20">
        <f>(AG114*C34/C52+AH114*D34/D52+AI114*E34/E52+AJ114*F34/F52+AK114*G34/G52+AL114*H34/H52+AM114*I34/I52+AN114*J34/J52+AO114*K34/K52+AP114*L34/L52)/B$27</f>
        <v/>
      </c>
      <c r="G155" s="20">
        <f>(AQ114*C35/C53+AR114*D35/D53+AS114*E35/E53+AT114*F35/F53+AU114*G35/G53+AV114*H35/H53+AW114*I35/I53+AX114*J35/J53+AY114*K35/K53+AZ114*L35/L53)/B$27</f>
        <v/>
      </c>
      <c r="H155" s="20">
        <f>(BA114*C36/C54+BB114*D36/D54+BC114*E36/E54+BD114*F36/F54+BE114*G36/G54+BF114*H36/H54+BG114*I36/I54+BH114*J36/J54+BI114*K36/K54+BJ114*L36/L54)/B$27</f>
        <v/>
      </c>
      <c r="I155">
        <f>IF(MAX(C155:H155)&lt;=1,"✓","✗ OVER")</f>
        <v/>
      </c>
    </row>
    <row r="157" ht="15.75" customHeight="1">
      <c r="A157" s="19" t="inlineStr">
        <is>
          <t>⚠ RECALCULATION NOTE</t>
        </is>
      </c>
    </row>
    <row r="158">
      <c r="A158" t="inlineStr">
        <is>
          <t>The allocation values above are computed by a Python solver and pasted as static values.</t>
        </is>
      </c>
    </row>
    <row r="159">
      <c r="A159" t="inlineStr">
        <is>
          <t>If you change demand, cycle times, OEE, or production setup, ask Claude to re-run the solver.</t>
        </is>
      </c>
    </row>
    <row r="160">
      <c r="A160" t="inlineStr">
        <is>
          <t>The validation formulas (rows 118-155) will flag any mismatch between allocated totals and demand.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topLeftCell="A42" workbookViewId="0">
      <selection activeCell="I37" sqref="I37:I42"/>
    </sheetView>
  </sheetViews>
  <sheetFormatPr baseColWidth="8" defaultRowHeight="15"/>
  <cols>
    <col width="9.5703125" customWidth="1" min="1" max="1"/>
    <col width="12.42578125" customWidth="1" min="2" max="2"/>
    <col width="22.85546875" customWidth="1" min="3" max="3"/>
    <col width="16.140625" customWidth="1" min="4" max="7"/>
    <col width="18.140625" customWidth="1" min="8" max="8"/>
    <col width="14.28515625" customWidth="1" min="9" max="9"/>
    <col width="12.42578125" customWidth="1" min="10" max="13"/>
    <col width="15.28515625" customWidth="1" min="14" max="14"/>
  </cols>
  <sheetData>
    <row r="1" ht="21" customHeight="1">
      <c r="A1" s="21" t="inlineStr">
        <is>
          <t>PRODUCTION LINE SUMMARY</t>
        </is>
      </c>
    </row>
    <row r="3" ht="15.75" customHeight="1">
      <c r="A3" s="22" t="inlineStr">
        <is>
          <t>LINE-BY-LINE OVERVIEW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>
      <c r="A4" s="24" t="inlineStr">
        <is>
          <t>Year</t>
        </is>
      </c>
      <c r="B4" s="24" t="inlineStr">
        <is>
          <t>Line</t>
        </is>
      </c>
      <c r="C4" s="24" t="inlineStr">
        <is>
          <t>Products</t>
        </is>
      </c>
      <c r="D4" s="25" t="inlineStr">
        <is>
          <t>P1</t>
        </is>
      </c>
      <c r="E4" s="25" t="inlineStr">
        <is>
          <t>P2</t>
        </is>
      </c>
      <c r="F4" s="25" t="inlineStr">
        <is>
          <t>P3</t>
        </is>
      </c>
      <c r="G4" s="25" t="inlineStr">
        <is>
          <t>P4</t>
        </is>
      </c>
      <c r="H4" s="25" t="inlineStr">
        <is>
          <t>Total Volume</t>
        </is>
      </c>
      <c r="I4" s="25" t="inlineStr">
        <is>
          <t>Utilization</t>
        </is>
      </c>
      <c r="J4" s="26" t="inlineStr">
        <is>
          <t># Products</t>
        </is>
      </c>
      <c r="K4" s="26" t="inlineStr">
        <is>
          <t>Mech. Toolings</t>
        </is>
      </c>
      <c r="L4" s="26" t="inlineStr">
        <is>
          <t>Opt. Toolings</t>
        </is>
      </c>
      <c r="M4" s="26" t="inlineStr">
        <is>
          <t>Total Toolings</t>
        </is>
      </c>
      <c r="N4" s="24" t="inlineStr">
        <is>
          <t>Role</t>
        </is>
      </c>
    </row>
    <row r="5">
      <c r="A5" t="n">
        <v>2029</v>
      </c>
      <c r="B5" t="inlineStr">
        <is>
          <t>Line 1</t>
        </is>
      </c>
      <c r="C5" t="inlineStr">
        <is>
          <t>P1, P2, P3, P4</t>
        </is>
      </c>
      <c r="D5" s="11" t="n">
        <v>1000</v>
      </c>
      <c r="E5" s="11" t="n">
        <v>1000</v>
      </c>
      <c r="F5" s="11" t="n">
        <v>1000</v>
      </c>
      <c r="G5" s="11" t="n">
        <v>1000</v>
      </c>
      <c r="H5" s="11" t="n">
        <v>4000</v>
      </c>
      <c r="I5" s="20" t="n">
        <v>0.00252158476559348</v>
      </c>
      <c r="J5" t="n">
        <v>4</v>
      </c>
      <c r="K5" t="n">
        <v>4</v>
      </c>
      <c r="L5" t="n">
        <v>4</v>
      </c>
      <c r="M5" t="n">
        <v>8</v>
      </c>
      <c r="N5" t="inlineStr">
        <is>
          <t>Validation</t>
        </is>
      </c>
    </row>
    <row r="6">
      <c r="A6" s="8" t="n">
        <v>2030</v>
      </c>
      <c r="B6" s="8" t="inlineStr">
        <is>
          <t>Line 1</t>
        </is>
      </c>
      <c r="C6" s="8" t="inlineStr">
        <is>
          <t>P1, P2, P3, P4</t>
        </is>
      </c>
      <c r="D6" s="9" t="n">
        <v>35498</v>
      </c>
      <c r="E6" s="9" t="n">
        <v>141992</v>
      </c>
      <c r="F6" s="28" t="n">
        <v>35498</v>
      </c>
      <c r="G6" s="28" t="n">
        <v>35498</v>
      </c>
      <c r="H6" s="9" t="n">
        <v>248486</v>
      </c>
      <c r="I6" s="27" t="n">
        <v>0.1566446280158154</v>
      </c>
      <c r="J6" s="8" t="n">
        <v>4</v>
      </c>
      <c r="K6" s="8" t="n">
        <v>4</v>
      </c>
      <c r="L6" s="8" t="n">
        <v>4</v>
      </c>
      <c r="M6" s="8" t="n">
        <v>8</v>
      </c>
      <c r="N6" s="8" t="inlineStr">
        <is>
          <t>Validation</t>
        </is>
      </c>
    </row>
    <row r="7">
      <c r="A7" s="8" t="n">
        <v>2031</v>
      </c>
      <c r="B7" s="8" t="inlineStr">
        <is>
          <t>Line 1</t>
        </is>
      </c>
      <c r="C7" s="8" t="inlineStr">
        <is>
          <t>P1, P2, P3, P4</t>
        </is>
      </c>
      <c r="D7" s="9" t="n">
        <v>372560</v>
      </c>
      <c r="E7" s="28" t="n">
        <v>468624</v>
      </c>
      <c r="F7" s="28" t="n">
        <v>372560</v>
      </c>
      <c r="G7" s="28" t="n">
        <v>372560</v>
      </c>
      <c r="H7" s="9" t="n">
        <v>1586304</v>
      </c>
      <c r="I7" s="27" t="n">
        <v>1</v>
      </c>
      <c r="J7" s="8" t="n">
        <v>4</v>
      </c>
      <c r="K7" s="8" t="n">
        <v>4</v>
      </c>
      <c r="L7" s="8" t="n">
        <v>4</v>
      </c>
      <c r="M7" s="8" t="n">
        <v>8</v>
      </c>
      <c r="N7" s="8" t="inlineStr">
        <is>
          <t>Validation</t>
        </is>
      </c>
    </row>
    <row r="8">
      <c r="A8" s="8" t="n">
        <v>2031</v>
      </c>
      <c r="B8" s="8" t="inlineStr">
        <is>
          <t>Line 2</t>
        </is>
      </c>
      <c r="C8" s="8" t="inlineStr">
        <is>
          <t>P2</t>
        </is>
      </c>
      <c r="D8" s="28" t="inlineStr">
        <is>
          <t>-</t>
        </is>
      </c>
      <c r="E8" s="9" t="n">
        <v>1021614</v>
      </c>
      <c r="F8" s="28" t="inlineStr">
        <is>
          <t>-</t>
        </is>
      </c>
      <c r="G8" s="28" t="inlineStr">
        <is>
          <t>-</t>
        </is>
      </c>
      <c r="H8" s="9" t="n">
        <v>1021614</v>
      </c>
      <c r="I8" s="27" t="n">
        <v>0.6440215746792544</v>
      </c>
      <c r="J8" s="8" t="n">
        <v>1</v>
      </c>
      <c r="K8" s="8" t="n">
        <v>1</v>
      </c>
      <c r="L8" s="8" t="n">
        <v>1</v>
      </c>
      <c r="M8" s="8" t="n">
        <v>2</v>
      </c>
      <c r="N8" s="8" t="inlineStr">
        <is>
          <t>P2-dedicated</t>
        </is>
      </c>
    </row>
    <row r="9">
      <c r="A9" t="n">
        <v>2032</v>
      </c>
      <c r="B9" t="inlineStr">
        <is>
          <t>Line 1</t>
        </is>
      </c>
      <c r="C9" t="inlineStr">
        <is>
          <t>P1, P2, P3, P4</t>
        </is>
      </c>
      <c r="D9" s="11" t="n">
        <v>226614</v>
      </c>
      <c r="E9" s="11" t="n">
        <v>906459</v>
      </c>
      <c r="F9" s="11" t="n">
        <v>226614</v>
      </c>
      <c r="G9" s="29" t="n">
        <v>226614</v>
      </c>
      <c r="H9" s="11" t="n">
        <v>1586301</v>
      </c>
      <c r="I9" s="20" t="n">
        <v>0.9999981088114257</v>
      </c>
      <c r="J9" t="n">
        <v>4</v>
      </c>
      <c r="K9" t="n">
        <v>4</v>
      </c>
      <c r="L9" t="n">
        <v>4</v>
      </c>
      <c r="M9" t="n">
        <v>8</v>
      </c>
      <c r="N9" t="inlineStr">
        <is>
          <t>Validation</t>
        </is>
      </c>
    </row>
    <row r="10">
      <c r="A10" t="n">
        <v>2032</v>
      </c>
      <c r="B10" t="inlineStr">
        <is>
          <t>Line 2</t>
        </is>
      </c>
      <c r="C10" t="inlineStr">
        <is>
          <t>P2</t>
        </is>
      </c>
      <c r="D10" s="11" t="inlineStr">
        <is>
          <t>-</t>
        </is>
      </c>
      <c r="E10" s="29" t="n">
        <v>1212591</v>
      </c>
      <c r="F10" s="29" t="inlineStr">
        <is>
          <t>-</t>
        </is>
      </c>
      <c r="G10" s="29" t="inlineStr">
        <is>
          <t>-</t>
        </is>
      </c>
      <c r="H10" s="11" t="n">
        <v>1212591</v>
      </c>
      <c r="I10" s="20" t="n">
        <v>0.7644127481239409</v>
      </c>
      <c r="J10" t="n">
        <v>1</v>
      </c>
      <c r="K10" t="n">
        <v>1</v>
      </c>
      <c r="L10" t="n">
        <v>1</v>
      </c>
      <c r="M10" t="n">
        <v>2</v>
      </c>
      <c r="N10" t="inlineStr">
        <is>
          <t>P2-dedicated</t>
        </is>
      </c>
    </row>
    <row r="11">
      <c r="A11" t="n">
        <v>2032</v>
      </c>
      <c r="B11" t="inlineStr">
        <is>
          <t>Line 3</t>
        </is>
      </c>
      <c r="C11" t="inlineStr">
        <is>
          <t>P1, P3, P4</t>
        </is>
      </c>
      <c r="D11" s="29" t="n">
        <v>303149</v>
      </c>
      <c r="E11" s="11" t="inlineStr">
        <is>
          <t>-</t>
        </is>
      </c>
      <c r="F11" s="29" t="n">
        <v>303149</v>
      </c>
      <c r="G11" s="29" t="n">
        <v>303149</v>
      </c>
      <c r="H11" s="11" t="n">
        <v>909447</v>
      </c>
      <c r="I11" s="20" t="n">
        <v>0.5733119250786735</v>
      </c>
      <c r="J11" t="n">
        <v>3</v>
      </c>
      <c r="K11" t="n">
        <v>3</v>
      </c>
      <c r="L11" t="n">
        <v>3</v>
      </c>
      <c r="M11" t="n">
        <v>6</v>
      </c>
      <c r="N11" t="inlineStr">
        <is>
          <t>P1P3P4-shared</t>
        </is>
      </c>
    </row>
    <row r="12">
      <c r="A12" t="n">
        <v>2033</v>
      </c>
      <c r="B12" t="inlineStr">
        <is>
          <t>Line 1</t>
        </is>
      </c>
      <c r="C12" t="inlineStr">
        <is>
          <t>P1, P2, P3, P4</t>
        </is>
      </c>
      <c r="D12" s="29" t="n">
        <v>226614</v>
      </c>
      <c r="E12" s="29" t="n">
        <v>906459</v>
      </c>
      <c r="F12" s="11" t="n">
        <v>226614</v>
      </c>
      <c r="G12" s="29" t="n">
        <v>226614</v>
      </c>
      <c r="H12" s="11" t="n">
        <v>1586301</v>
      </c>
      <c r="I12" s="20" t="n">
        <v>0.9999981088114257</v>
      </c>
      <c r="J12" t="n">
        <v>4</v>
      </c>
      <c r="K12" t="n">
        <v>4</v>
      </c>
      <c r="L12" t="n">
        <v>4</v>
      </c>
      <c r="M12" t="n">
        <v>8</v>
      </c>
      <c r="N12" t="inlineStr">
        <is>
          <t>Validation</t>
        </is>
      </c>
    </row>
    <row r="13">
      <c r="A13" s="8" t="n">
        <v>2033</v>
      </c>
      <c r="B13" s="8" t="inlineStr">
        <is>
          <t>Line 2</t>
        </is>
      </c>
      <c r="C13" s="8" t="inlineStr">
        <is>
          <t>P2</t>
        </is>
      </c>
      <c r="D13" s="9" t="inlineStr">
        <is>
          <t>-</t>
        </is>
      </c>
      <c r="E13" s="9" t="n">
        <v>1586304</v>
      </c>
      <c r="F13" s="9" t="inlineStr">
        <is>
          <t>-</t>
        </is>
      </c>
      <c r="G13" s="9" t="inlineStr">
        <is>
          <t>-</t>
        </is>
      </c>
      <c r="H13" s="9" t="n">
        <v>1586304</v>
      </c>
      <c r="I13" s="27" t="n">
        <v>1</v>
      </c>
      <c r="J13" s="8" t="n">
        <v>1</v>
      </c>
      <c r="K13" s="8" t="n">
        <v>1</v>
      </c>
      <c r="L13" s="8" t="n">
        <v>1</v>
      </c>
      <c r="M13" s="8" t="n">
        <v>2</v>
      </c>
      <c r="N13" s="8" t="inlineStr">
        <is>
          <t>P2-dedicated</t>
        </is>
      </c>
    </row>
    <row r="14">
      <c r="A14" s="8" t="n">
        <v>2033</v>
      </c>
      <c r="B14" s="8" t="inlineStr">
        <is>
          <t>Line 3</t>
        </is>
      </c>
      <c r="C14" s="8" t="inlineStr">
        <is>
          <t>P1, P3, P4</t>
        </is>
      </c>
      <c r="D14" s="9" t="n">
        <v>466563</v>
      </c>
      <c r="E14" s="28" t="inlineStr">
        <is>
          <t>-</t>
        </is>
      </c>
      <c r="F14" s="28" t="n">
        <v>466563</v>
      </c>
      <c r="G14" s="28" t="n">
        <v>466563</v>
      </c>
      <c r="H14" s="9" t="n">
        <v>1399689</v>
      </c>
      <c r="I14" s="27" t="n">
        <v>0.8823586147421932</v>
      </c>
      <c r="J14" s="8" t="n">
        <v>3</v>
      </c>
      <c r="K14" s="8" t="n">
        <v>3</v>
      </c>
      <c r="L14" s="8" t="n">
        <v>3</v>
      </c>
      <c r="M14" s="8" t="n">
        <v>6</v>
      </c>
      <c r="N14" s="8" t="inlineStr">
        <is>
          <t>P1P3P4-shared</t>
        </is>
      </c>
    </row>
    <row r="15">
      <c r="A15" s="8" t="n">
        <v>2033</v>
      </c>
      <c r="B15" s="8" t="inlineStr">
        <is>
          <t>Line 4</t>
        </is>
      </c>
      <c r="C15" s="8" t="inlineStr">
        <is>
          <t>P2</t>
        </is>
      </c>
      <c r="D15" s="28" t="inlineStr">
        <is>
          <t>-</t>
        </is>
      </c>
      <c r="E15" s="9" t="n">
        <v>279945</v>
      </c>
      <c r="F15" s="28" t="inlineStr">
        <is>
          <t>-</t>
        </is>
      </c>
      <c r="G15" s="28" t="inlineStr">
        <is>
          <t>-</t>
        </is>
      </c>
      <c r="H15" s="9" t="n">
        <v>279945</v>
      </c>
      <c r="I15" s="27" t="n">
        <v>0.1764762618010167</v>
      </c>
      <c r="J15" s="8" t="n">
        <v>1</v>
      </c>
      <c r="K15" s="8" t="n">
        <v>1</v>
      </c>
      <c r="L15" s="8" t="n">
        <v>1</v>
      </c>
      <c r="M15" s="8" t="n">
        <v>2</v>
      </c>
      <c r="N15" s="8" t="inlineStr">
        <is>
          <t>P2-dedicated</t>
        </is>
      </c>
    </row>
    <row r="16">
      <c r="A16" s="8" t="n">
        <v>2034</v>
      </c>
      <c r="B16" s="8" t="inlineStr">
        <is>
          <t>Line 1</t>
        </is>
      </c>
      <c r="C16" s="8" t="inlineStr">
        <is>
          <t>P1, P2, P3, P4</t>
        </is>
      </c>
      <c r="D16" s="28" t="n">
        <v>226614</v>
      </c>
      <c r="E16" s="28" t="n">
        <v>906459</v>
      </c>
      <c r="F16" s="9" t="n">
        <v>226614</v>
      </c>
      <c r="G16" s="28" t="n">
        <v>226614</v>
      </c>
      <c r="H16" s="9" t="n">
        <v>1586301</v>
      </c>
      <c r="I16" s="27" t="n">
        <v>0.9999981088114257</v>
      </c>
      <c r="J16" s="8" t="n">
        <v>4</v>
      </c>
      <c r="K16" s="8" t="n">
        <v>4</v>
      </c>
      <c r="L16" s="8" t="n">
        <v>4</v>
      </c>
      <c r="M16" s="8" t="n">
        <v>8</v>
      </c>
      <c r="N16" s="8" t="inlineStr">
        <is>
          <t>Validation</t>
        </is>
      </c>
    </row>
    <row r="17">
      <c r="A17" s="8" t="n">
        <v>2034</v>
      </c>
      <c r="B17" s="8" t="inlineStr">
        <is>
          <t>Line 2</t>
        </is>
      </c>
      <c r="C17" s="8" t="inlineStr">
        <is>
          <t>P2</t>
        </is>
      </c>
      <c r="D17" s="28" t="inlineStr">
        <is>
          <t>-</t>
        </is>
      </c>
      <c r="E17" s="28" t="n">
        <v>1586304</v>
      </c>
      <c r="F17" s="9" t="inlineStr">
        <is>
          <t>-</t>
        </is>
      </c>
      <c r="G17" s="28" t="inlineStr">
        <is>
          <t>-</t>
        </is>
      </c>
      <c r="H17" s="9" t="n">
        <v>1586304</v>
      </c>
      <c r="I17" s="27" t="n">
        <v>1</v>
      </c>
      <c r="J17" s="8" t="n">
        <v>1</v>
      </c>
      <c r="K17" s="8" t="n">
        <v>1</v>
      </c>
      <c r="L17" s="8" t="n">
        <v>1</v>
      </c>
      <c r="M17" s="8" t="n">
        <v>2</v>
      </c>
      <c r="N17" s="8" t="inlineStr">
        <is>
          <t>P2-dedicated</t>
        </is>
      </c>
    </row>
    <row r="18">
      <c r="A18" s="8" t="n">
        <v>2034</v>
      </c>
      <c r="B18" s="8" t="inlineStr">
        <is>
          <t>Line 3</t>
        </is>
      </c>
      <c r="C18" s="8" t="inlineStr">
        <is>
          <t>P1, P3, P4</t>
        </is>
      </c>
      <c r="D18" s="28" t="n">
        <v>775080</v>
      </c>
      <c r="E18" s="28" t="inlineStr">
        <is>
          <t>-</t>
        </is>
      </c>
      <c r="F18" s="28" t="n">
        <v>775080</v>
      </c>
      <c r="G18" s="9" t="n">
        <v>36144</v>
      </c>
      <c r="H18" s="9" t="n">
        <v>1586304</v>
      </c>
      <c r="I18" s="27" t="n">
        <v>1</v>
      </c>
      <c r="J18" s="8" t="n">
        <v>3</v>
      </c>
      <c r="K18" s="8" t="n">
        <v>3</v>
      </c>
      <c r="L18" s="8" t="n">
        <v>3</v>
      </c>
      <c r="M18" s="8" t="n">
        <v>6</v>
      </c>
      <c r="N18" s="8" t="inlineStr">
        <is>
          <t>P1P3P4-shared</t>
        </is>
      </c>
    </row>
    <row r="19">
      <c r="A19" t="n">
        <v>2034</v>
      </c>
      <c r="B19" t="inlineStr">
        <is>
          <t>Line 4</t>
        </is>
      </c>
      <c r="C19" t="inlineStr">
        <is>
          <t>P2</t>
        </is>
      </c>
      <c r="D19" s="11" t="inlineStr">
        <is>
          <t>-</t>
        </is>
      </c>
      <c r="E19" s="11" t="n">
        <v>1514013</v>
      </c>
      <c r="F19" s="11" t="inlineStr">
        <is>
          <t>-</t>
        </is>
      </c>
      <c r="G19" s="11" t="inlineStr">
        <is>
          <t>-</t>
        </is>
      </c>
      <c r="H19" s="11" t="n">
        <v>1514013</v>
      </c>
      <c r="I19" s="20" t="n">
        <v>0.9544280289276205</v>
      </c>
      <c r="J19" t="n">
        <v>1</v>
      </c>
      <c r="K19" t="n">
        <v>1</v>
      </c>
      <c r="L19" t="n">
        <v>1</v>
      </c>
      <c r="M19" t="n">
        <v>2</v>
      </c>
      <c r="N19" t="inlineStr">
        <is>
          <t>P2-dedicated</t>
        </is>
      </c>
    </row>
    <row r="20">
      <c r="A20" t="n">
        <v>2034</v>
      </c>
      <c r="B20" t="inlineStr">
        <is>
          <t>Line 5</t>
        </is>
      </c>
      <c r="C20" t="inlineStr">
        <is>
          <t>P1, P3, P4</t>
        </is>
      </c>
      <c r="D20" s="11" t="inlineStr">
        <is>
          <t>-</t>
        </is>
      </c>
      <c r="E20" s="29" t="inlineStr">
        <is>
          <t>-</t>
        </is>
      </c>
      <c r="F20" s="29" t="inlineStr">
        <is>
          <t>-</t>
        </is>
      </c>
      <c r="G20" s="29" t="n">
        <v>738936</v>
      </c>
      <c r="H20" s="11" t="n">
        <v>738936</v>
      </c>
      <c r="I20" s="20" t="n">
        <v>0.465822440087146</v>
      </c>
      <c r="J20" t="n">
        <v>1</v>
      </c>
      <c r="K20" t="n">
        <v>1</v>
      </c>
      <c r="L20" t="n">
        <v>1</v>
      </c>
      <c r="M20" t="n">
        <v>2</v>
      </c>
      <c r="N20" t="inlineStr">
        <is>
          <t>P1P3P4-shared</t>
        </is>
      </c>
    </row>
    <row r="21">
      <c r="A21" t="n">
        <v>2035</v>
      </c>
      <c r="B21" t="inlineStr">
        <is>
          <t>Line 1</t>
        </is>
      </c>
      <c r="C21" t="inlineStr">
        <is>
          <t>P1, P2, P3, P4</t>
        </is>
      </c>
      <c r="D21" s="29" t="n">
        <v>226614</v>
      </c>
      <c r="E21" s="11" t="n">
        <v>906459</v>
      </c>
      <c r="F21" s="29" t="n">
        <v>226614</v>
      </c>
      <c r="G21" s="29" t="n">
        <v>226614</v>
      </c>
      <c r="H21" s="11" t="n">
        <v>1586301</v>
      </c>
      <c r="I21" s="20" t="n">
        <v>0.9999981088114257</v>
      </c>
      <c r="J21" t="n">
        <v>4</v>
      </c>
      <c r="K21" t="n">
        <v>4</v>
      </c>
      <c r="L21" t="n">
        <v>4</v>
      </c>
      <c r="M21" t="n">
        <v>8</v>
      </c>
      <c r="N21" t="inlineStr">
        <is>
          <t>Validation</t>
        </is>
      </c>
    </row>
    <row r="22">
      <c r="A22" t="n">
        <v>2035</v>
      </c>
      <c r="B22" t="inlineStr">
        <is>
          <t>Line 2</t>
        </is>
      </c>
      <c r="C22" t="inlineStr">
        <is>
          <t>P2</t>
        </is>
      </c>
      <c r="D22" s="29" t="inlineStr">
        <is>
          <t>-</t>
        </is>
      </c>
      <c r="E22" s="29" t="n">
        <v>1586304</v>
      </c>
      <c r="F22" s="11" t="inlineStr">
        <is>
          <t>-</t>
        </is>
      </c>
      <c r="G22" s="29" t="inlineStr">
        <is>
          <t>-</t>
        </is>
      </c>
      <c r="H22" s="11" t="n">
        <v>1586304</v>
      </c>
      <c r="I22" s="20" t="n">
        <v>1</v>
      </c>
      <c r="J22" t="n">
        <v>1</v>
      </c>
      <c r="K22" t="n">
        <v>1</v>
      </c>
      <c r="L22" t="n">
        <v>1</v>
      </c>
      <c r="M22" t="n">
        <v>2</v>
      </c>
      <c r="N22" t="inlineStr">
        <is>
          <t>P2-dedicated</t>
        </is>
      </c>
    </row>
    <row r="23">
      <c r="A23" t="n">
        <v>2035</v>
      </c>
      <c r="B23" t="inlineStr">
        <is>
          <t>Line 3</t>
        </is>
      </c>
      <c r="C23" t="inlineStr">
        <is>
          <t>P1, P3</t>
        </is>
      </c>
      <c r="D23" s="29" t="n">
        <v>1112083</v>
      </c>
      <c r="E23" s="29" t="inlineStr">
        <is>
          <t>-</t>
        </is>
      </c>
      <c r="F23" s="11" t="n">
        <v>474221</v>
      </c>
      <c r="G23" s="29" t="inlineStr">
        <is>
          <t>-</t>
        </is>
      </c>
      <c r="H23" s="11" t="n">
        <v>1586304</v>
      </c>
      <c r="I23" s="20" t="n">
        <v>1</v>
      </c>
      <c r="J23" t="n">
        <v>2</v>
      </c>
      <c r="K23" t="n">
        <v>2</v>
      </c>
      <c r="L23" t="n">
        <v>2</v>
      </c>
      <c r="M23" t="n">
        <v>4</v>
      </c>
      <c r="N23" t="inlineStr">
        <is>
          <t>P1P3P4-shared</t>
        </is>
      </c>
    </row>
    <row r="24">
      <c r="A24" t="n">
        <v>2035</v>
      </c>
      <c r="B24" t="inlineStr">
        <is>
          <t>Line 4</t>
        </is>
      </c>
      <c r="C24" t="inlineStr">
        <is>
          <t>P2</t>
        </is>
      </c>
      <c r="D24" s="29" t="inlineStr">
        <is>
          <t>-</t>
        </is>
      </c>
      <c r="E24" s="29" t="n">
        <v>1586304</v>
      </c>
      <c r="F24" s="29" t="inlineStr">
        <is>
          <t>-</t>
        </is>
      </c>
      <c r="G24" s="11" t="inlineStr">
        <is>
          <t>-</t>
        </is>
      </c>
      <c r="H24" s="11" t="n">
        <v>1586304</v>
      </c>
      <c r="I24" s="20" t="n">
        <v>1</v>
      </c>
      <c r="J24" t="n">
        <v>1</v>
      </c>
      <c r="K24" t="n">
        <v>1</v>
      </c>
      <c r="L24" t="n">
        <v>1</v>
      </c>
      <c r="M24" t="n">
        <v>2</v>
      </c>
      <c r="N24" t="inlineStr">
        <is>
          <t>P2-dedicated</t>
        </is>
      </c>
    </row>
    <row r="25">
      <c r="A25" s="8" t="n">
        <v>2035</v>
      </c>
      <c r="B25" s="8" t="inlineStr">
        <is>
          <t>Line 5</t>
        </is>
      </c>
      <c r="C25" s="8" t="inlineStr">
        <is>
          <t>P3, P4</t>
        </is>
      </c>
      <c r="D25" s="9" t="inlineStr">
        <is>
          <t>-</t>
        </is>
      </c>
      <c r="E25" s="9" t="inlineStr">
        <is>
          <t>-</t>
        </is>
      </c>
      <c r="F25" s="9" t="n">
        <v>474221</v>
      </c>
      <c r="G25" s="9" t="n">
        <v>1112083</v>
      </c>
      <c r="H25" s="9" t="n">
        <v>1586304</v>
      </c>
      <c r="I25" s="27" t="n">
        <v>1</v>
      </c>
      <c r="J25" s="8" t="n">
        <v>2</v>
      </c>
      <c r="K25" s="8" t="n">
        <v>2</v>
      </c>
      <c r="L25" s="8" t="n">
        <v>2</v>
      </c>
      <c r="M25" s="8" t="n">
        <v>4</v>
      </c>
      <c r="N25" s="8" t="inlineStr">
        <is>
          <t>P1P3P4-shared</t>
        </is>
      </c>
    </row>
    <row r="26">
      <c r="A26" s="8" t="n">
        <v>2035</v>
      </c>
      <c r="B26" s="8" t="inlineStr">
        <is>
          <t>Line 6</t>
        </is>
      </c>
      <c r="C26" s="8" t="inlineStr">
        <is>
          <t>P2, P3</t>
        </is>
      </c>
      <c r="D26" s="9" t="inlineStr">
        <is>
          <t>-</t>
        </is>
      </c>
      <c r="E26" s="28" t="n">
        <v>1275721</v>
      </c>
      <c r="F26" s="28" t="n">
        <v>163641</v>
      </c>
      <c r="G26" s="28" t="inlineStr">
        <is>
          <t>-</t>
        </is>
      </c>
      <c r="H26" s="9" t="n">
        <v>1439362</v>
      </c>
      <c r="I26" s="27" t="n">
        <v>0.9073683228435406</v>
      </c>
      <c r="J26" s="8" t="n">
        <v>2</v>
      </c>
      <c r="K26" s="8" t="n">
        <v>2</v>
      </c>
      <c r="L26" s="8" t="n">
        <v>2</v>
      </c>
      <c r="M26" s="8" t="n">
        <v>4</v>
      </c>
      <c r="N26" s="8" t="inlineStr">
        <is>
          <t>P2P3-overflow</t>
        </is>
      </c>
    </row>
    <row r="27">
      <c r="A27" s="8" t="n">
        <v>2036</v>
      </c>
      <c r="B27" s="8" t="inlineStr">
        <is>
          <t>Line 1</t>
        </is>
      </c>
      <c r="C27" s="8" t="inlineStr">
        <is>
          <t>P1, P2, P3, P4</t>
        </is>
      </c>
      <c r="D27" s="28" t="n">
        <v>220019</v>
      </c>
      <c r="E27" s="9" t="n">
        <v>926244</v>
      </c>
      <c r="F27" s="28" t="n">
        <v>220019</v>
      </c>
      <c r="G27" s="28" t="n">
        <v>220019</v>
      </c>
      <c r="H27" s="9" t="n">
        <v>1586301</v>
      </c>
      <c r="I27" s="27" t="n">
        <v>0.9999981088114257</v>
      </c>
      <c r="J27" s="8" t="n">
        <v>4</v>
      </c>
      <c r="K27" s="8" t="n">
        <v>4</v>
      </c>
      <c r="L27" s="8" t="n">
        <v>4</v>
      </c>
      <c r="M27" s="8" t="n">
        <v>8</v>
      </c>
      <c r="N27" s="8" t="inlineStr">
        <is>
          <t>Validation</t>
        </is>
      </c>
    </row>
    <row r="28">
      <c r="A28" s="8" t="n">
        <v>2036</v>
      </c>
      <c r="B28" s="8" t="inlineStr">
        <is>
          <t>Line 2</t>
        </is>
      </c>
      <c r="C28" s="8" t="inlineStr">
        <is>
          <t>P2</t>
        </is>
      </c>
      <c r="D28" s="28" t="inlineStr">
        <is>
          <t>-</t>
        </is>
      </c>
      <c r="E28" s="28" t="n">
        <v>1586304</v>
      </c>
      <c r="F28" s="9" t="inlineStr">
        <is>
          <t>-</t>
        </is>
      </c>
      <c r="G28" s="28" t="inlineStr">
        <is>
          <t>-</t>
        </is>
      </c>
      <c r="H28" s="9" t="n">
        <v>1586304</v>
      </c>
      <c r="I28" s="27" t="n">
        <v>1</v>
      </c>
      <c r="J28" s="8" t="n">
        <v>1</v>
      </c>
      <c r="K28" s="8" t="n">
        <v>1</v>
      </c>
      <c r="L28" s="8" t="n">
        <v>1</v>
      </c>
      <c r="M28" s="8" t="n">
        <v>2</v>
      </c>
      <c r="N28" s="8" t="inlineStr">
        <is>
          <t>P2-dedicated</t>
        </is>
      </c>
    </row>
    <row r="29">
      <c r="A29" s="8" t="n">
        <v>2036</v>
      </c>
      <c r="B29" s="8" t="inlineStr">
        <is>
          <t>Line 3</t>
        </is>
      </c>
      <c r="C29" s="8" t="inlineStr">
        <is>
          <t>P1, P3</t>
        </is>
      </c>
      <c r="D29" s="28" t="n">
        <v>1066813</v>
      </c>
      <c r="E29" s="28" t="inlineStr">
        <is>
          <t>-</t>
        </is>
      </c>
      <c r="F29" s="9" t="n">
        <v>519491</v>
      </c>
      <c r="G29" s="28" t="inlineStr">
        <is>
          <t>-</t>
        </is>
      </c>
      <c r="H29" s="9" t="n">
        <v>1586304</v>
      </c>
      <c r="I29" s="27" t="n">
        <v>1</v>
      </c>
      <c r="J29" s="8" t="n">
        <v>2</v>
      </c>
      <c r="K29" s="8" t="n">
        <v>2</v>
      </c>
      <c r="L29" s="8" t="n">
        <v>2</v>
      </c>
      <c r="M29" s="8" t="n">
        <v>4</v>
      </c>
      <c r="N29" s="8" t="inlineStr">
        <is>
          <t>P1P3P4-shared</t>
        </is>
      </c>
    </row>
    <row r="30">
      <c r="A30" s="8" t="n">
        <v>2036</v>
      </c>
      <c r="B30" s="8" t="inlineStr">
        <is>
          <t>Line 4</t>
        </is>
      </c>
      <c r="C30" s="8" t="inlineStr">
        <is>
          <t>P2</t>
        </is>
      </c>
      <c r="D30" s="28" t="inlineStr">
        <is>
          <t>-</t>
        </is>
      </c>
      <c r="E30" s="28" t="n">
        <v>1586304</v>
      </c>
      <c r="F30" s="28" t="inlineStr">
        <is>
          <t>-</t>
        </is>
      </c>
      <c r="G30" s="9" t="inlineStr">
        <is>
          <t>-</t>
        </is>
      </c>
      <c r="H30" s="9" t="n">
        <v>1586304</v>
      </c>
      <c r="I30" s="27" t="n">
        <v>1</v>
      </c>
      <c r="J30" s="8" t="n">
        <v>1</v>
      </c>
      <c r="K30" s="8" t="n">
        <v>1</v>
      </c>
      <c r="L30" s="8" t="n">
        <v>1</v>
      </c>
      <c r="M30" s="8" t="n">
        <v>2</v>
      </c>
      <c r="N30" s="8" t="inlineStr">
        <is>
          <t>P2-dedicated</t>
        </is>
      </c>
    </row>
    <row r="31">
      <c r="A31" t="n">
        <v>2036</v>
      </c>
      <c r="B31" t="inlineStr">
        <is>
          <t>Line 5</t>
        </is>
      </c>
      <c r="C31" t="inlineStr">
        <is>
          <t>P3, P4</t>
        </is>
      </c>
      <c r="D31" s="11" t="inlineStr">
        <is>
          <t>-</t>
        </is>
      </c>
      <c r="E31" s="11" t="inlineStr">
        <is>
          <t>-</t>
        </is>
      </c>
      <c r="F31" s="11" t="n">
        <v>519491</v>
      </c>
      <c r="G31" s="11" t="n">
        <v>1066813</v>
      </c>
      <c r="H31" s="11" t="n">
        <v>1586304</v>
      </c>
      <c r="I31" s="20" t="n">
        <v>1</v>
      </c>
      <c r="J31" t="n">
        <v>2</v>
      </c>
      <c r="K31" t="n">
        <v>2</v>
      </c>
      <c r="L31" t="n">
        <v>2</v>
      </c>
      <c r="M31" t="n">
        <v>4</v>
      </c>
      <c r="N31" t="inlineStr">
        <is>
          <t>P1P3P4-shared</t>
        </is>
      </c>
    </row>
    <row r="32">
      <c r="A32" t="n">
        <v>2036</v>
      </c>
      <c r="B32" t="inlineStr">
        <is>
          <t>Line 6</t>
        </is>
      </c>
      <c r="C32" t="inlineStr">
        <is>
          <t>P2, P3</t>
        </is>
      </c>
      <c r="D32" s="11" t="inlineStr">
        <is>
          <t>-</t>
        </is>
      </c>
      <c r="E32" s="29" t="n">
        <v>1318476</v>
      </c>
      <c r="F32" s="29" t="n">
        <v>27831</v>
      </c>
      <c r="G32" s="29" t="inlineStr">
        <is>
          <t>-</t>
        </is>
      </c>
      <c r="H32" s="11" t="n">
        <v>1346307</v>
      </c>
      <c r="I32" s="20" t="n">
        <v>0.8487068052529654</v>
      </c>
      <c r="J32" t="n">
        <v>2</v>
      </c>
      <c r="K32" t="n">
        <v>2</v>
      </c>
      <c r="L32" t="n">
        <v>2</v>
      </c>
      <c r="M32" t="n">
        <v>4</v>
      </c>
      <c r="N32" t="inlineStr">
        <is>
          <t>P2P3-overflow</t>
        </is>
      </c>
    </row>
    <row r="33">
      <c r="A33" t="n">
        <v>2037</v>
      </c>
      <c r="B33" t="inlineStr">
        <is>
          <t>Line 1</t>
        </is>
      </c>
      <c r="C33" t="inlineStr">
        <is>
          <t>P1, P2, P3, P4</t>
        </is>
      </c>
      <c r="D33" s="29" t="n">
        <v>226614</v>
      </c>
      <c r="E33" s="11" t="n">
        <v>906459</v>
      </c>
      <c r="F33" s="29" t="n">
        <v>226614</v>
      </c>
      <c r="G33" s="29" t="n">
        <v>226614</v>
      </c>
      <c r="H33" s="11" t="n">
        <v>1586301</v>
      </c>
      <c r="I33" s="20" t="n">
        <v>0.9999981088114257</v>
      </c>
      <c r="J33" t="n">
        <v>4</v>
      </c>
      <c r="K33" t="n">
        <v>4</v>
      </c>
      <c r="L33" t="n">
        <v>4</v>
      </c>
      <c r="M33" t="n">
        <v>8</v>
      </c>
      <c r="N33" t="inlineStr">
        <is>
          <t>Validation</t>
        </is>
      </c>
    </row>
    <row r="34">
      <c r="A34" t="n">
        <v>2037</v>
      </c>
      <c r="B34" t="inlineStr">
        <is>
          <t>Line 2</t>
        </is>
      </c>
      <c r="C34" t="inlineStr">
        <is>
          <t>P2</t>
        </is>
      </c>
      <c r="D34" s="29" t="inlineStr">
        <is>
          <t>-</t>
        </is>
      </c>
      <c r="E34" s="29" t="n">
        <v>1534489</v>
      </c>
      <c r="F34" s="11" t="inlineStr">
        <is>
          <t>-</t>
        </is>
      </c>
      <c r="G34" s="29" t="inlineStr">
        <is>
          <t>-</t>
        </is>
      </c>
      <c r="H34" s="11" t="n">
        <v>1534489</v>
      </c>
      <c r="I34" s="20" t="n">
        <v>0.9673360213426935</v>
      </c>
      <c r="J34" t="n">
        <v>1</v>
      </c>
      <c r="K34" t="n">
        <v>1</v>
      </c>
      <c r="L34" t="n">
        <v>1</v>
      </c>
      <c r="M34" t="n">
        <v>2</v>
      </c>
      <c r="N34" t="inlineStr">
        <is>
          <t>P2-dedicated</t>
        </is>
      </c>
    </row>
    <row r="35">
      <c r="A35" t="n">
        <v>2037</v>
      </c>
      <c r="B35" t="inlineStr">
        <is>
          <t>Line 3</t>
        </is>
      </c>
      <c r="C35" t="inlineStr">
        <is>
          <t>P1, P3, P4</t>
        </is>
      </c>
      <c r="D35" s="29" t="n">
        <v>383623</v>
      </c>
      <c r="E35" s="29" t="inlineStr">
        <is>
          <t>-</t>
        </is>
      </c>
      <c r="F35" s="11" t="n">
        <v>383623</v>
      </c>
      <c r="G35" s="29" t="n">
        <v>383623</v>
      </c>
      <c r="H35" s="11" t="n">
        <v>1150869</v>
      </c>
      <c r="I35" s="20" t="n">
        <v>0.7255034343984507</v>
      </c>
      <c r="J35" t="n">
        <v>3</v>
      </c>
      <c r="K35" t="n">
        <v>3</v>
      </c>
      <c r="L35" t="n">
        <v>3</v>
      </c>
      <c r="M35" t="n">
        <v>6</v>
      </c>
      <c r="N35" t="inlineStr">
        <is>
          <t>P1P3P4-shared</t>
        </is>
      </c>
    </row>
    <row r="36">
      <c r="A36" t="n">
        <v>2038</v>
      </c>
      <c r="B36" t="inlineStr">
        <is>
          <t>Line 1</t>
        </is>
      </c>
      <c r="C36" t="inlineStr">
        <is>
          <t>P1, P2, P3, P4</t>
        </is>
      </c>
      <c r="D36" s="29" t="n">
        <v>173752</v>
      </c>
      <c r="E36" s="29" t="n">
        <v>695008</v>
      </c>
      <c r="F36" s="29" t="n">
        <v>173752</v>
      </c>
      <c r="G36" s="11" t="n">
        <v>173752</v>
      </c>
      <c r="H36" s="11" t="n">
        <v>1216264</v>
      </c>
      <c r="I36" s="20" t="n">
        <v>0.7667281933349471</v>
      </c>
      <c r="J36" t="n">
        <v>4</v>
      </c>
      <c r="K36" t="n">
        <v>4</v>
      </c>
      <c r="L36" t="n">
        <v>4</v>
      </c>
      <c r="M36" t="n">
        <v>8</v>
      </c>
      <c r="N36" t="inlineStr">
        <is>
          <t>Validation</t>
        </is>
      </c>
    </row>
    <row r="37">
      <c r="A37" s="8" t="n"/>
      <c r="B37" s="8" t="n"/>
      <c r="C37" s="8" t="n"/>
      <c r="D37" s="9" t="n"/>
      <c r="E37" s="9" t="n"/>
      <c r="F37" s="9" t="n"/>
      <c r="G37" s="9" t="n"/>
      <c r="H37" s="9" t="n"/>
      <c r="I37" s="27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9" t="n"/>
      <c r="E38" s="28" t="n"/>
      <c r="F38" s="28" t="n"/>
      <c r="G38" s="28" t="n"/>
      <c r="H38" s="9" t="n"/>
      <c r="I38" s="27" t="n"/>
      <c r="J38" s="8" t="n"/>
      <c r="K38" s="8" t="n"/>
      <c r="L38" s="8" t="n"/>
      <c r="M38" s="8" t="n"/>
      <c r="N38" s="8" t="n"/>
    </row>
    <row r="39" ht="15.75" customHeight="1">
      <c r="A39" s="35" t="n"/>
      <c r="B39" s="8" t="n"/>
      <c r="C39" s="8" t="n"/>
      <c r="D39" s="28" t="n"/>
      <c r="E39" s="9" t="n"/>
      <c r="F39" s="28" t="n"/>
      <c r="G39" s="28" t="n"/>
      <c r="H39" s="9" t="n"/>
      <c r="I39" s="27" t="n"/>
      <c r="J39" s="8" t="n"/>
      <c r="K39" s="8" t="n"/>
      <c r="L39" s="8" t="n"/>
      <c r="M39" s="8" t="n"/>
      <c r="N39" s="8" t="n"/>
    </row>
    <row r="40">
      <c r="A40" s="34" t="n"/>
      <c r="B40" s="34" t="n"/>
      <c r="C40" s="34" t="n"/>
      <c r="D40" s="36" t="n"/>
      <c r="E40" s="36" t="n"/>
      <c r="F40" s="37" t="n"/>
      <c r="G40" s="36" t="n"/>
      <c r="H40" s="37" t="n"/>
      <c r="I40" s="38" t="n"/>
      <c r="J40" s="8" t="n"/>
      <c r="K40" s="8" t="n"/>
      <c r="L40" s="8" t="n"/>
      <c r="M40" s="8" t="n"/>
      <c r="N40" s="8" t="n"/>
    </row>
    <row r="41">
      <c r="A41" s="8" t="n">
        <v>2029</v>
      </c>
      <c r="B41" s="8">
        <f>COUNTA(B5:B5)</f>
        <v/>
      </c>
      <c r="C41" s="9">
        <f>SUM(H5:H5)</f>
        <v/>
      </c>
      <c r="D41" s="39">
        <f>AVERAGE(I5:I5)</f>
        <v/>
      </c>
      <c r="E41" s="28">
        <f>SUM(K5:K5)</f>
        <v/>
      </c>
      <c r="F41" s="9">
        <f>SUM(L5:L5)</f>
        <v/>
      </c>
      <c r="G41" s="28">
        <f>SUM(M5:M5)</f>
        <v/>
      </c>
      <c r="H41" s="9">
        <f>MAX(J5:J5)</f>
        <v/>
      </c>
      <c r="I41" s="27">
        <f>MAX(I5:I5)</f>
        <v/>
      </c>
      <c r="J41" s="8" t="n"/>
      <c r="K41" s="8" t="n"/>
      <c r="L41" s="8" t="n"/>
      <c r="M41" s="8" t="n"/>
      <c r="N41" s="8" t="n"/>
    </row>
    <row r="42">
      <c r="A42" s="8" t="n">
        <v>2030</v>
      </c>
      <c r="B42" s="8">
        <f>COUNTA(B6:B6)</f>
        <v/>
      </c>
      <c r="C42" s="9">
        <f>SUM(H6:H6)</f>
        <v/>
      </c>
      <c r="D42" s="39">
        <f>AVERAGE(I6:I6)</f>
        <v/>
      </c>
      <c r="E42" s="28">
        <f>SUM(K6:K6)</f>
        <v/>
      </c>
      <c r="F42" s="28">
        <f>SUM(L6:L6)</f>
        <v/>
      </c>
      <c r="G42" s="9">
        <f>SUM(M6:M6)</f>
        <v/>
      </c>
      <c r="H42" s="9">
        <f>MAX(J6:J6)</f>
        <v/>
      </c>
      <c r="I42" s="27">
        <f>MAX(I6:I6)</f>
        <v/>
      </c>
      <c r="J42" s="8" t="n"/>
      <c r="K42" s="8" t="n"/>
      <c r="L42" s="8" t="n"/>
      <c r="M42" s="8" t="n"/>
      <c r="N42" s="8" t="n"/>
    </row>
    <row r="43">
      <c r="A43" t="n">
        <v>2031</v>
      </c>
      <c r="B43">
        <f>COUNTA(B7:B8)</f>
        <v/>
      </c>
      <c r="C43" s="11">
        <f>SUM(H7:H8)</f>
        <v/>
      </c>
      <c r="D43" s="20">
        <f>AVERAGE(I7:I8)</f>
        <v/>
      </c>
      <c r="E43" s="11">
        <f>SUM(K7:K8)</f>
        <v/>
      </c>
      <c r="F43" s="11">
        <f>SUM(L7:L8)</f>
        <v/>
      </c>
      <c r="G43" s="11">
        <f>SUM(M7:M8)</f>
        <v/>
      </c>
      <c r="H43" s="11">
        <f>MAX(J7:J8)</f>
        <v/>
      </c>
      <c r="I43" s="20">
        <f>MAX(I7:I8)</f>
        <v/>
      </c>
    </row>
    <row r="44">
      <c r="A44" t="n">
        <v>2032</v>
      </c>
      <c r="B44">
        <f>COUNTA(B9:B11)</f>
        <v/>
      </c>
      <c r="C44" s="11">
        <f>SUM(H9:H11)</f>
        <v/>
      </c>
      <c r="D44" s="20">
        <f>AVERAGE(I9:I11)</f>
        <v/>
      </c>
      <c r="E44" s="29">
        <f>SUM(K9:K11)</f>
        <v/>
      </c>
      <c r="F44" s="29">
        <f>SUM(L9:L11)</f>
        <v/>
      </c>
      <c r="G44" s="29">
        <f>SUM(M9:M11)</f>
        <v/>
      </c>
      <c r="H44" s="11">
        <f>MAX(J9:J11)</f>
        <v/>
      </c>
      <c r="I44" s="20">
        <f>MAX(I9:I11)</f>
        <v/>
      </c>
    </row>
    <row r="45">
      <c r="A45" t="n">
        <v>2033</v>
      </c>
      <c r="B45">
        <f>COUNTA(B12:B15)</f>
        <v/>
      </c>
      <c r="C45" s="11">
        <f>SUM(H12:H15)</f>
        <v/>
      </c>
      <c r="D45" s="40">
        <f>AVERAGE(I12:I15)</f>
        <v/>
      </c>
      <c r="E45" s="11">
        <f>SUM(K12:K15)</f>
        <v/>
      </c>
      <c r="F45" s="29">
        <f>SUM(L12:L15)</f>
        <v/>
      </c>
      <c r="G45" s="29">
        <f>SUM(M12:M15)</f>
        <v/>
      </c>
      <c r="H45" s="11">
        <f>MAX(J12:J15)</f>
        <v/>
      </c>
      <c r="I45" s="20">
        <f>MAX(I12:I15)</f>
        <v/>
      </c>
    </row>
    <row r="46">
      <c r="A46" t="n">
        <v>2034</v>
      </c>
      <c r="B46">
        <f>COUNTA(B16:B20)</f>
        <v/>
      </c>
      <c r="C46" s="11">
        <f>SUM(H16:H20)</f>
        <v/>
      </c>
      <c r="D46" s="40">
        <f>AVERAGE(I16:I20)</f>
        <v/>
      </c>
      <c r="E46" s="29">
        <f>SUM(K16:K20)</f>
        <v/>
      </c>
      <c r="F46" s="11">
        <f>SUM(L16:L20)</f>
        <v/>
      </c>
      <c r="G46" s="29">
        <f>SUM(M16:M20)</f>
        <v/>
      </c>
      <c r="H46" s="11">
        <f>MAX(J16:J20)</f>
        <v/>
      </c>
      <c r="I46" s="20">
        <f>MAX(I16:I20)</f>
        <v/>
      </c>
    </row>
    <row r="47">
      <c r="A47" t="n">
        <v>2035</v>
      </c>
      <c r="B47">
        <f>COUNTA(B21:B26)</f>
        <v/>
      </c>
      <c r="C47" s="11">
        <f>SUM(H21:H26)</f>
        <v/>
      </c>
      <c r="D47" s="40">
        <f>AVERAGE(I21:I26)</f>
        <v/>
      </c>
      <c r="E47" s="29">
        <f>SUM(K21:K26)</f>
        <v/>
      </c>
      <c r="F47" s="11">
        <f>SUM(L21:L26)</f>
        <v/>
      </c>
      <c r="G47" s="29">
        <f>SUM(M21:M26)</f>
        <v/>
      </c>
      <c r="H47" s="11">
        <f>MAX(J21:J26)</f>
        <v/>
      </c>
      <c r="I47" s="20">
        <f>MAX(I21:I26)</f>
        <v/>
      </c>
    </row>
    <row r="48">
      <c r="A48" t="n">
        <v>2036</v>
      </c>
      <c r="B48">
        <f>COUNTA(B27:B32)</f>
        <v/>
      </c>
      <c r="C48" s="11">
        <f>SUM(H27:H32)</f>
        <v/>
      </c>
      <c r="D48" s="40">
        <f>AVERAGE(I27:I32)</f>
        <v/>
      </c>
      <c r="E48" s="29">
        <f>SUM(K27:K32)</f>
        <v/>
      </c>
      <c r="F48" s="29">
        <f>SUM(L27:L32)</f>
        <v/>
      </c>
      <c r="G48" s="11">
        <f>SUM(M27:M32)</f>
        <v/>
      </c>
      <c r="H48" s="11">
        <f>MAX(J27:J32)</f>
        <v/>
      </c>
      <c r="I48" s="20">
        <f>MAX(I27:I32)</f>
        <v/>
      </c>
    </row>
    <row r="49">
      <c r="A49" s="8" t="n">
        <v>2037</v>
      </c>
      <c r="B49" s="8">
        <f>COUNTA(B33:B35)</f>
        <v/>
      </c>
      <c r="C49" s="9">
        <f>SUM(H33:H35)</f>
        <v/>
      </c>
      <c r="D49" s="27">
        <f>AVERAGE(I33:I35)</f>
        <v/>
      </c>
      <c r="E49" s="9">
        <f>SUM(K33:K35)</f>
        <v/>
      </c>
      <c r="F49" s="9">
        <f>SUM(L33:L35)</f>
        <v/>
      </c>
      <c r="G49" s="9">
        <f>SUM(M33:M35)</f>
        <v/>
      </c>
      <c r="H49" s="9">
        <f>MAX(J33:J35)</f>
        <v/>
      </c>
      <c r="I49" s="27">
        <f>MAX(I33:I35)</f>
        <v/>
      </c>
      <c r="J49" s="8" t="n"/>
      <c r="K49" s="8" t="n"/>
      <c r="L49" s="8" t="n"/>
      <c r="M49" s="8" t="n"/>
      <c r="N49" s="8" t="n"/>
    </row>
    <row r="50">
      <c r="A50" s="8" t="n">
        <v>2038</v>
      </c>
      <c r="B50" s="8">
        <f>COUNTA(B36:B36)</f>
        <v/>
      </c>
      <c r="C50" s="9">
        <f>SUM(H36:H36)</f>
        <v/>
      </c>
      <c r="D50" s="27">
        <f>AVERAGE(I36:I36)</f>
        <v/>
      </c>
      <c r="E50" s="28">
        <f>SUM(K36:K36)</f>
        <v/>
      </c>
      <c r="F50" s="28">
        <f>SUM(L36:L36)</f>
        <v/>
      </c>
      <c r="G50" s="28">
        <f>SUM(M36:M36)</f>
        <v/>
      </c>
      <c r="H50" s="9">
        <f>MAX(J36:J36)</f>
        <v/>
      </c>
      <c r="I50" s="27">
        <f>MAX(I36:I36)</f>
        <v/>
      </c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28" t="n"/>
      <c r="E51" s="9" t="n"/>
      <c r="F51" s="28" t="n"/>
      <c r="G51" s="28" t="n"/>
      <c r="H51" s="9" t="n"/>
      <c r="I51" s="27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28" t="n"/>
      <c r="E52" s="28" t="n"/>
      <c r="F52" s="9" t="n"/>
      <c r="G52" s="28" t="n"/>
      <c r="H52" s="9" t="n"/>
      <c r="I52" s="27" t="n"/>
      <c r="J52" s="8" t="n"/>
      <c r="K52" s="8" t="n"/>
      <c r="L52" s="8" t="n"/>
      <c r="M52" s="8" t="n"/>
      <c r="N52" s="8" t="n"/>
    </row>
    <row r="53" ht="15.75" customHeight="1">
      <c r="A53" s="35" t="n"/>
      <c r="B53" s="8" t="n"/>
      <c r="C53" s="8" t="n"/>
      <c r="D53" s="28" t="n"/>
      <c r="E53" s="28" t="n"/>
      <c r="F53" s="9" t="n"/>
      <c r="G53" s="28" t="n"/>
      <c r="H53" s="9" t="n"/>
      <c r="I53" s="27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28" t="n"/>
      <c r="E54" s="28" t="n"/>
      <c r="F54" s="28" t="n"/>
      <c r="G54" s="9" t="n"/>
      <c r="H54" s="9" t="n"/>
      <c r="I54" s="27" t="n"/>
      <c r="J54" s="8" t="n"/>
      <c r="K54" s="8" t="n"/>
      <c r="L54" s="8" t="n"/>
      <c r="M54" s="8" t="n"/>
      <c r="N54" s="8" t="n"/>
    </row>
    <row r="55">
      <c r="D55" s="11" t="n"/>
      <c r="E55" s="11" t="n"/>
      <c r="F55" s="11" t="n"/>
      <c r="G55" s="11" t="n"/>
      <c r="H55" s="11" t="n"/>
      <c r="I55" s="20" t="n"/>
    </row>
    <row r="56">
      <c r="A56" s="1" t="n"/>
      <c r="B56" s="1" t="n"/>
      <c r="C56" s="1" t="n"/>
      <c r="D56" s="41" t="n"/>
      <c r="E56" s="42" t="n"/>
      <c r="F56" s="42" t="n"/>
      <c r="G56" s="29" t="n"/>
      <c r="H56" s="11" t="n"/>
      <c r="I56" s="20" t="n"/>
    </row>
    <row r="57">
      <c r="A57" t="inlineStr">
        <is>
          <t>Line 1</t>
        </is>
      </c>
      <c r="B57" t="inlineStr">
        <is>
          <t>P1, P2, P3, P4</t>
        </is>
      </c>
      <c r="C57" t="n">
        <v>2029</v>
      </c>
      <c r="D57" s="43" t="n">
        <v>4</v>
      </c>
      <c r="E57" s="44" t="n">
        <v>4</v>
      </c>
      <c r="F57" s="43" t="n">
        <v>8</v>
      </c>
      <c r="G57" s="29" t="n"/>
      <c r="H57" s="11" t="n"/>
      <c r="I57" s="20" t="n"/>
    </row>
    <row r="58">
      <c r="A58" t="inlineStr">
        <is>
          <t>Line 2</t>
        </is>
      </c>
      <c r="B58" t="inlineStr">
        <is>
          <t>P2</t>
        </is>
      </c>
      <c r="C58" t="n">
        <v>2031</v>
      </c>
      <c r="D58" s="43" t="n">
        <v>1</v>
      </c>
      <c r="E58" s="43" t="n">
        <v>1</v>
      </c>
      <c r="F58" s="44" t="n">
        <v>2</v>
      </c>
      <c r="G58" s="29" t="n"/>
      <c r="H58" s="11" t="n"/>
      <c r="I58" s="20" t="n"/>
    </row>
    <row r="59">
      <c r="A59" t="inlineStr">
        <is>
          <t>Line 3</t>
        </is>
      </c>
      <c r="B59" t="inlineStr">
        <is>
          <t>P1, P3, P4</t>
        </is>
      </c>
      <c r="C59" t="n">
        <v>2032</v>
      </c>
      <c r="D59" s="43" t="n">
        <v>3</v>
      </c>
      <c r="E59" s="43" t="n">
        <v>3</v>
      </c>
      <c r="F59" s="44" t="n">
        <v>6</v>
      </c>
      <c r="G59" s="29" t="n"/>
      <c r="H59" s="11" t="n"/>
      <c r="I59" s="20" t="n"/>
    </row>
    <row r="60">
      <c r="A60" t="inlineStr">
        <is>
          <t>Line 4</t>
        </is>
      </c>
      <c r="B60" t="inlineStr">
        <is>
          <t>P2</t>
        </is>
      </c>
      <c r="C60" t="n">
        <v>2033</v>
      </c>
      <c r="D60" s="43" t="n">
        <v>1</v>
      </c>
      <c r="E60" s="43" t="n">
        <v>1</v>
      </c>
      <c r="F60" s="43" t="n">
        <v>2</v>
      </c>
      <c r="G60" s="11" t="n"/>
      <c r="H60" s="11" t="n"/>
      <c r="I60" s="20" t="n"/>
    </row>
    <row r="61">
      <c r="A61" s="8" t="inlineStr">
        <is>
          <t>Line 5</t>
        </is>
      </c>
      <c r="B61" s="8" t="inlineStr">
        <is>
          <t>P1, P3, P4</t>
        </is>
      </c>
      <c r="C61" s="8" t="n">
        <v>2034</v>
      </c>
      <c r="D61" s="45" t="n">
        <v>3</v>
      </c>
      <c r="E61" s="45" t="n">
        <v>3</v>
      </c>
      <c r="F61" s="45" t="n">
        <v>6</v>
      </c>
      <c r="G61" s="9" t="n"/>
      <c r="H61" s="9" t="n"/>
      <c r="I61" s="27" t="n"/>
      <c r="J61" s="8" t="n"/>
      <c r="K61" s="8" t="n"/>
      <c r="L61" s="8" t="n"/>
      <c r="M61" s="8" t="n"/>
      <c r="N61" s="8" t="n"/>
    </row>
    <row r="62">
      <c r="A62" s="8" t="inlineStr">
        <is>
          <t>Line 6</t>
        </is>
      </c>
      <c r="B62" s="8" t="inlineStr">
        <is>
          <t>P2, P3</t>
        </is>
      </c>
      <c r="C62" s="8" t="n">
        <v>2035</v>
      </c>
      <c r="D62" s="45" t="n">
        <v>2</v>
      </c>
      <c r="E62" s="46" t="n">
        <v>2</v>
      </c>
      <c r="F62" s="46" t="n">
        <v>4</v>
      </c>
      <c r="G62" s="28" t="n"/>
      <c r="H62" s="9" t="n"/>
      <c r="I62" s="27" t="n"/>
      <c r="J62" s="8" t="n"/>
      <c r="K62" s="8" t="n"/>
      <c r="L62" s="8" t="n"/>
      <c r="M62" s="8" t="n"/>
      <c r="N62" s="8" t="n"/>
    </row>
    <row r="63">
      <c r="A63" s="8" t="n"/>
      <c r="B63" s="8" t="n"/>
      <c r="C63" s="8" t="n"/>
      <c r="D63" s="28" t="n"/>
      <c r="E63" s="9" t="n"/>
      <c r="F63" s="28" t="n"/>
      <c r="G63" s="28" t="n"/>
      <c r="H63" s="9" t="n"/>
      <c r="I63" s="27" t="n"/>
      <c r="J63" s="8" t="n"/>
      <c r="K63" s="8" t="n"/>
      <c r="L63" s="8" t="n"/>
      <c r="M63" s="8" t="n"/>
      <c r="N63" s="8" t="n"/>
    </row>
    <row r="64">
      <c r="A64" s="34" t="inlineStr">
        <is>
          <t>TOTAL</t>
        </is>
      </c>
      <c r="B64" s="8" t="n"/>
      <c r="C64" s="8" t="n"/>
      <c r="D64" s="47">
        <f>SUM(D57:D62)</f>
        <v/>
      </c>
      <c r="E64" s="47">
        <f>SUM(E57:E62)</f>
        <v/>
      </c>
      <c r="F64" s="48">
        <f>SUM(F57:F62)</f>
        <v/>
      </c>
      <c r="G64" s="28" t="n"/>
      <c r="H64" s="9" t="n"/>
      <c r="I64" s="27" t="n"/>
      <c r="J64" s="8" t="n"/>
      <c r="K64" s="8" t="n"/>
      <c r="L64" s="8" t="n"/>
      <c r="M64" s="8" t="n"/>
      <c r="N64" s="8" t="n"/>
    </row>
    <row r="65">
      <c r="A65" s="8" t="n"/>
      <c r="B65" s="8" t="n"/>
      <c r="C65" s="8" t="n"/>
      <c r="D65" s="28" t="n"/>
      <c r="E65" s="28" t="n"/>
      <c r="F65" s="9" t="n"/>
      <c r="G65" s="28" t="n"/>
      <c r="H65" s="9" t="n"/>
      <c r="I65" s="27" t="n"/>
      <c r="J65" s="8" t="n"/>
      <c r="K65" s="8" t="n"/>
      <c r="L65" s="8" t="n"/>
      <c r="M65" s="8" t="n"/>
      <c r="N65" s="8" t="n"/>
    </row>
    <row r="66">
      <c r="A66" s="8" t="n"/>
      <c r="B66" s="8" t="n"/>
      <c r="C66" s="8" t="n"/>
      <c r="D66" s="28" t="n"/>
      <c r="E66" s="28" t="n"/>
      <c r="F66" s="28" t="n"/>
      <c r="G66" s="9" t="n"/>
      <c r="H66" s="9" t="n"/>
      <c r="I66" s="27" t="n"/>
      <c r="J66" s="8" t="n"/>
      <c r="K66" s="8" t="n"/>
      <c r="L66" s="8" t="n"/>
      <c r="M66" s="8" t="n"/>
      <c r="N66" s="8" t="n"/>
    </row>
    <row r="67">
      <c r="A67" s="49" t="n"/>
      <c r="D67" s="11" t="n"/>
      <c r="E67" s="11" t="n"/>
      <c r="F67" s="11" t="n"/>
      <c r="G67" s="11" t="n"/>
      <c r="H67" s="11" t="n"/>
      <c r="I67" s="20" t="n"/>
    </row>
    <row r="68">
      <c r="D68" s="11" t="n"/>
      <c r="E68" s="29" t="n"/>
      <c r="F68" s="29" t="n"/>
      <c r="G68" s="29" t="n"/>
      <c r="H68" s="11" t="n"/>
      <c r="I68" s="20" t="n"/>
    </row>
    <row r="69">
      <c r="D69" s="29" t="n"/>
      <c r="E69" s="11" t="n"/>
      <c r="F69" s="29" t="n"/>
      <c r="G69" s="29" t="n"/>
      <c r="H69" s="11" t="n"/>
      <c r="I69" s="20" t="n"/>
    </row>
    <row r="70">
      <c r="D70" s="29" t="n"/>
      <c r="E70" s="29" t="n"/>
      <c r="F70" s="11" t="n"/>
      <c r="G70" s="29" t="n"/>
      <c r="H70" s="11" t="n"/>
      <c r="I70" s="20" t="n"/>
    </row>
    <row r="71">
      <c r="D71" s="29" t="n"/>
      <c r="E71" s="29" t="n"/>
      <c r="F71" s="11" t="n"/>
      <c r="G71" s="29" t="n"/>
      <c r="H71" s="11" t="n"/>
      <c r="I71" s="20" t="n"/>
    </row>
    <row r="72">
      <c r="D72" s="29" t="n"/>
      <c r="E72" s="29" t="n"/>
      <c r="F72" s="29" t="n"/>
      <c r="G72" s="11" t="n"/>
      <c r="H72" s="11" t="n"/>
      <c r="I72" s="20" t="n"/>
    </row>
    <row r="75" ht="15.75" customHeight="1">
      <c r="A75" s="22" t="inlineStr">
        <is>
          <t>YEARLY TOTALS</t>
        </is>
      </c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6">
      <c r="A76" s="24" t="inlineStr">
        <is>
          <t>Year</t>
        </is>
      </c>
      <c r="B76" s="26" t="inlineStr">
        <is>
          <t>Active Lines</t>
        </is>
      </c>
      <c r="C76" s="25" t="inlineStr">
        <is>
          <t>Total Volume</t>
        </is>
      </c>
      <c r="D76" s="25" t="inlineStr">
        <is>
          <t>Avg Utilization</t>
        </is>
      </c>
      <c r="E76" s="26" t="inlineStr">
        <is>
          <t>Mech. Toolings</t>
        </is>
      </c>
      <c r="F76" s="26" t="inlineStr">
        <is>
          <t>Opt. Toolings</t>
        </is>
      </c>
      <c r="G76" s="26" t="inlineStr">
        <is>
          <t>Total Toolings</t>
        </is>
      </c>
      <c r="H76" s="26" t="inlineStr">
        <is>
          <t>Max Products/Line</t>
        </is>
      </c>
      <c r="I76" s="25" t="inlineStr">
        <is>
          <t>Peak Line Util.</t>
        </is>
      </c>
    </row>
    <row r="77">
      <c r="B77" s="30" t="n"/>
      <c r="C77" s="11" t="n"/>
      <c r="D77" s="20" t="n"/>
      <c r="E77" s="30" t="n"/>
      <c r="F77" s="30" t="n"/>
      <c r="G77" s="30" t="n"/>
      <c r="H77" s="30" t="n"/>
      <c r="I77" s="20" t="n"/>
    </row>
    <row r="78">
      <c r="A78" s="8" t="n"/>
      <c r="B78" s="31" t="n"/>
      <c r="C78" s="9" t="n"/>
      <c r="D78" s="27" t="n"/>
      <c r="E78" s="31" t="n"/>
      <c r="F78" s="31" t="n"/>
      <c r="G78" s="31" t="n"/>
      <c r="H78" s="31" t="n"/>
      <c r="I78" s="27" t="n"/>
    </row>
    <row r="79">
      <c r="B79" s="30" t="n"/>
      <c r="C79" s="11" t="n"/>
      <c r="D79" s="20" t="n"/>
      <c r="E79" s="30" t="n"/>
      <c r="F79" s="30" t="n"/>
      <c r="G79" s="30" t="n"/>
      <c r="H79" s="30" t="n"/>
      <c r="I79" s="20" t="n"/>
    </row>
    <row r="80">
      <c r="A80" s="8" t="n"/>
      <c r="B80" s="31" t="n"/>
      <c r="C80" s="9" t="n"/>
      <c r="D80" s="27" t="n"/>
      <c r="E80" s="31" t="n"/>
      <c r="F80" s="31" t="n"/>
      <c r="G80" s="31" t="n"/>
      <c r="H80" s="31" t="n"/>
      <c r="I80" s="27" t="n"/>
    </row>
    <row r="81">
      <c r="B81" s="30" t="n"/>
      <c r="C81" s="11" t="n"/>
      <c r="D81" s="20" t="n"/>
      <c r="E81" s="30" t="n"/>
      <c r="F81" s="30" t="n"/>
      <c r="G81" s="30" t="n"/>
      <c r="H81" s="30" t="n"/>
      <c r="I81" s="20" t="n"/>
    </row>
    <row r="82">
      <c r="A82" s="8" t="n"/>
      <c r="B82" s="31" t="n"/>
      <c r="C82" s="9" t="n"/>
      <c r="D82" s="27" t="n"/>
      <c r="E82" s="31" t="n"/>
      <c r="F82" s="31" t="n"/>
      <c r="G82" s="31" t="n"/>
      <c r="H82" s="31" t="n"/>
      <c r="I82" s="27" t="n"/>
    </row>
    <row r="83">
      <c r="B83" s="30" t="n"/>
      <c r="C83" s="11" t="n"/>
      <c r="D83" s="20" t="n"/>
      <c r="E83" s="30" t="n"/>
      <c r="F83" s="30" t="n"/>
      <c r="G83" s="30" t="n"/>
      <c r="H83" s="30" t="n"/>
      <c r="I83" s="20" t="n"/>
    </row>
    <row r="84">
      <c r="A84" s="8" t="n"/>
      <c r="B84" s="31" t="n"/>
      <c r="C84" s="9" t="n"/>
      <c r="D84" s="27" t="n"/>
      <c r="E84" s="31" t="n"/>
      <c r="F84" s="31" t="n"/>
      <c r="G84" s="31" t="n"/>
      <c r="H84" s="31" t="n"/>
      <c r="I84" s="27" t="n"/>
    </row>
    <row r="85">
      <c r="B85" s="30" t="n"/>
      <c r="C85" s="11" t="n"/>
      <c r="D85" s="20" t="n"/>
      <c r="E85" s="30" t="n"/>
      <c r="F85" s="30" t="n"/>
      <c r="G85" s="30" t="n"/>
      <c r="H85" s="30" t="n"/>
      <c r="I85" s="20" t="n"/>
    </row>
    <row r="86">
      <c r="A86" s="8" t="n"/>
      <c r="B86" s="31" t="n"/>
      <c r="C86" s="9" t="n"/>
      <c r="D86" s="27" t="n"/>
      <c r="E86" s="31" t="n"/>
      <c r="F86" s="31" t="n"/>
      <c r="G86" s="31" t="n"/>
      <c r="H86" s="31" t="n"/>
      <c r="I86" s="27" t="n"/>
    </row>
    <row r="87">
      <c r="B87" s="30" t="n"/>
      <c r="C87" s="11" t="n"/>
      <c r="D87" s="20" t="n"/>
      <c r="E87" s="30" t="n"/>
      <c r="F87" s="30" t="n"/>
      <c r="G87" s="30" t="n"/>
      <c r="H87" s="30" t="n"/>
      <c r="I87" s="20" t="n"/>
    </row>
    <row r="88">
      <c r="A88" s="8" t="n"/>
      <c r="B88" s="31" t="n"/>
      <c r="C88" s="9" t="n"/>
      <c r="D88" s="27" t="n"/>
      <c r="E88" s="31" t="n"/>
      <c r="F88" s="31" t="n"/>
      <c r="G88" s="31" t="n"/>
      <c r="H88" s="31" t="n"/>
      <c r="I88" s="27" t="n"/>
    </row>
    <row r="89">
      <c r="B89" s="30" t="n"/>
      <c r="C89" s="11" t="n"/>
      <c r="D89" s="20" t="n"/>
      <c r="E89" s="30" t="n"/>
      <c r="F89" s="30" t="n"/>
      <c r="G89" s="30" t="n"/>
      <c r="H89" s="30" t="n"/>
      <c r="I89" s="20" t="n"/>
    </row>
    <row r="92" ht="15.75" customHeight="1">
      <c r="A92" s="22" t="inlineStr">
        <is>
          <t>TOOLING LIFECYCLE (First Year of Use)</t>
        </is>
      </c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</row>
    <row r="93">
      <c r="A93" s="24" t="inlineStr">
        <is>
          <t>Line</t>
        </is>
      </c>
      <c r="B93" s="26" t="inlineStr">
        <is>
          <t>P1 Mech</t>
        </is>
      </c>
      <c r="C93" s="26" t="inlineStr">
        <is>
          <t>P1 Opt</t>
        </is>
      </c>
      <c r="D93" s="26" t="inlineStr">
        <is>
          <t>P2 Mech</t>
        </is>
      </c>
      <c r="E93" s="26" t="inlineStr">
        <is>
          <t>P2 Opt</t>
        </is>
      </c>
      <c r="F93" s="26" t="inlineStr">
        <is>
          <t>P3 Mech</t>
        </is>
      </c>
      <c r="G93" s="26" t="inlineStr">
        <is>
          <t>P3 Opt</t>
        </is>
      </c>
      <c r="H93" s="26" t="inlineStr">
        <is>
          <t>P4 Mech</t>
        </is>
      </c>
      <c r="I93" s="26" t="inlineStr">
        <is>
          <t>P4 Opt</t>
        </is>
      </c>
      <c r="J93" s="26" t="inlineStr">
        <is>
          <t>Total Mech</t>
        </is>
      </c>
      <c r="K93" s="26" t="inlineStr">
        <is>
          <t>Total Opt</t>
        </is>
      </c>
    </row>
    <row r="94"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</row>
    <row r="95">
      <c r="A95" s="8" t="n"/>
      <c r="B95" s="31" t="n"/>
      <c r="C95" s="31" t="n"/>
      <c r="D95" s="33" t="n"/>
      <c r="E95" s="33" t="n"/>
      <c r="F95" s="33" t="n"/>
      <c r="G95" s="33" t="n"/>
      <c r="H95" s="33" t="n"/>
      <c r="I95" s="33" t="n"/>
      <c r="J95" s="31" t="n"/>
      <c r="K95" s="31" t="n"/>
    </row>
    <row r="96">
      <c r="B96" s="32" t="n"/>
      <c r="C96" s="32" t="n"/>
      <c r="D96" s="30" t="n"/>
      <c r="E96" s="30" t="n"/>
      <c r="F96" s="32" t="n"/>
      <c r="G96" s="32" t="n"/>
      <c r="H96" s="32" t="n"/>
      <c r="I96" s="32" t="n"/>
      <c r="J96" s="30" t="n"/>
      <c r="K96" s="30" t="n"/>
    </row>
    <row r="97">
      <c r="A97" s="8" t="n"/>
      <c r="B97" s="33" t="n"/>
      <c r="C97" s="33" t="n"/>
      <c r="D97" s="33" t="n"/>
      <c r="E97" s="33" t="n"/>
      <c r="F97" s="31" t="n"/>
      <c r="G97" s="31" t="n"/>
      <c r="H97" s="33" t="n"/>
      <c r="I97" s="33" t="n"/>
      <c r="J97" s="31" t="n"/>
      <c r="K97" s="31" t="n"/>
    </row>
    <row r="98">
      <c r="B98" s="32" t="n"/>
      <c r="C98" s="32" t="n"/>
      <c r="D98" s="32" t="n"/>
      <c r="E98" s="32" t="n"/>
      <c r="F98" s="30" t="n"/>
      <c r="G98" s="30" t="n"/>
      <c r="H98" s="32" t="n"/>
      <c r="I98" s="32" t="n"/>
      <c r="J98" s="30" t="n"/>
      <c r="K98" s="30" t="n"/>
    </row>
    <row r="99">
      <c r="A99" s="8" t="n"/>
      <c r="B99" s="33" t="n"/>
      <c r="C99" s="33" t="n"/>
      <c r="D99" s="33" t="n"/>
      <c r="E99" s="33" t="n"/>
      <c r="F99" s="33" t="n"/>
      <c r="G99" s="33" t="n"/>
      <c r="H99" s="31" t="n"/>
      <c r="I99" s="31" t="n"/>
      <c r="J99" s="31" t="n"/>
      <c r="K99" s="31" t="n"/>
    </row>
    <row r="100">
      <c r="A100" s="24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26" t="n"/>
      <c r="K100" s="26" t="n"/>
    </row>
    <row r="102">
      <c r="A102" s="7" t="inlineStr">
        <is>
          <t>⚠ Note: The allocation values above are solver-computed (static). If you change demand, cycle times, or OEE on Blad1,</t>
        </is>
      </c>
    </row>
    <row r="103">
      <c r="A103" s="7" t="inlineStr">
        <is>
          <t>ask Claude to re-run the allocation solver. The validation formulas on Blad1 will flag mismatches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20"/>
  <sheetViews>
    <sheetView workbookViewId="0">
      <selection activeCell="A1" sqref="A1"/>
    </sheetView>
  </sheetViews>
  <sheetFormatPr baseColWidth="8" defaultRowHeight="15"/>
  <cols>
    <col width="152.42578125" customWidth="1" style="51" min="1" max="1"/>
  </cols>
  <sheetData>
    <row r="1" ht="18.75" customHeight="1">
      <c r="A1" s="50" t="inlineStr">
        <is>
          <t>SOLVER.PY — Production Line Tooling Optimizer</t>
        </is>
      </c>
    </row>
    <row r="2">
      <c r="A2" s="51" t="inlineStr">
        <is>
          <t>Save the Python code below as 'solver.py' in the same folder as the Excel file</t>
        </is>
      </c>
    </row>
    <row r="3">
      <c r="A3" s="51" t="inlineStr">
        <is>
          <t>Run: pip install openpyxl &amp;&amp; python solver.py YourWorkbook.xlsx</t>
        </is>
      </c>
    </row>
    <row r="5">
      <c r="A5" s="52" t="inlineStr">
        <is>
          <t>#!/usr/bin/env python3</t>
        </is>
      </c>
    </row>
    <row r="6">
      <c r="A6" s="52" t="inlineStr">
        <is>
          <t># LineToolingOptimization Solver</t>
        </is>
      </c>
    </row>
    <row r="7">
      <c r="A7" s="52" t="inlineStr">
        <is>
          <t># Reads inputs from Blad1, optimizes, writes results back.</t>
        </is>
      </c>
    </row>
    <row r="8">
      <c r="A8" s="52" t="inlineStr">
        <is>
          <t># Usage: python solver.py [workbook.xlsx]</t>
        </is>
      </c>
    </row>
    <row r="9">
      <c r="A9" s="52" t="inlineStr">
        <is>
          <t># Requirements: pip install openpyxl</t>
        </is>
      </c>
    </row>
    <row r="10">
      <c r="A10" s="52" t="n"/>
    </row>
    <row r="11">
      <c r="A11" s="52" t="inlineStr">
        <is>
          <t>import sys, math, argparse</t>
        </is>
      </c>
    </row>
    <row r="12">
      <c r="A12" s="52" t="inlineStr">
        <is>
          <t>from pathlib import Path</t>
        </is>
      </c>
    </row>
    <row r="13">
      <c r="A13" s="52" t="inlineStr">
        <is>
          <t>import openpyxl</t>
        </is>
      </c>
    </row>
    <row r="14">
      <c r="A14" s="52" t="n"/>
    </row>
    <row r="15">
      <c r="A15" s="52" t="inlineStr">
        <is>
          <t>SHEET_NAME, SUMMARY_SHEET = 'Blad1', 'Summary'</t>
        </is>
      </c>
    </row>
    <row r="16">
      <c r="A16" s="52" t="inlineStr">
        <is>
          <t>NUM_PRODUCTS, NUM_LINES, LOOK_AHEAD_YEARS = 10, 15, 3</t>
        </is>
      </c>
    </row>
    <row r="17">
      <c r="A17" s="52" t="inlineStr">
        <is>
          <t>DEMAND_START, DEMAND_END = 3, 19</t>
        </is>
      </c>
    </row>
    <row r="18">
      <c r="A18" s="52" t="inlineStr">
        <is>
          <t>CT_START, OEE_START = 31, 49</t>
        </is>
      </c>
    </row>
    <row r="19">
      <c r="A19" s="52" t="inlineStr">
        <is>
          <t>MECH_START, OPT_START = 70, 84</t>
        </is>
      </c>
    </row>
    <row r="20">
      <c r="A20" s="52" t="inlineStr">
        <is>
          <t>OUTPUT_START = 98</t>
        </is>
      </c>
    </row>
    <row r="21">
      <c r="A21" s="52" t="n"/>
    </row>
    <row r="22">
      <c r="A22" s="52" t="inlineStr">
        <is>
          <t>def load_inputs(wb):</t>
        </is>
      </c>
    </row>
    <row r="23">
      <c r="A23" s="52" t="inlineStr">
        <is>
          <t xml:space="preserve">    ws = wb[SHEET_NAME]</t>
        </is>
      </c>
    </row>
    <row r="24">
      <c r="A24" s="52" t="inlineStr">
        <is>
          <t xml:space="preserve">    setup = {</t>
        </is>
      </c>
    </row>
    <row r="25">
      <c r="A25" s="52" t="inlineStr">
        <is>
          <t xml:space="preserve">        'hours': float(ws['B22'].value or 0),</t>
        </is>
      </c>
    </row>
    <row r="26">
      <c r="A26" s="52" t="inlineStr">
        <is>
          <t xml:space="preserve">        'shifts': float(ws['B23'].value or 0),</t>
        </is>
      </c>
    </row>
    <row r="27">
      <c r="A27" s="52" t="inlineStr">
        <is>
          <t xml:space="preserve">        'days': float(ws['B24'].value or 0),</t>
        </is>
      </c>
    </row>
    <row r="28">
      <c r="A28" s="52" t="inlineStr">
        <is>
          <t xml:space="preserve">        'weeks': float(ws['B25'].value or 0),</t>
        </is>
      </c>
    </row>
    <row r="29">
      <c r="A29" s="52" t="inlineStr">
        <is>
          <t xml:space="preserve">    }</t>
        </is>
      </c>
    </row>
    <row r="30">
      <c r="A30" s="52" t="inlineStr">
        <is>
          <t xml:space="preserve">    avail = setup['hours']*setup['shifts']*setup['days']*setup['weeks']*3600</t>
        </is>
      </c>
    </row>
    <row r="31">
      <c r="A31" s="52" t="inlineStr">
        <is>
          <t xml:space="preserve">    years, demand = [], {}</t>
        </is>
      </c>
    </row>
    <row r="32">
      <c r="A32" s="52" t="inlineStr">
        <is>
          <t xml:space="preserve">    for r in range(DEMAND_START, DEMAND_END + 1):</t>
        </is>
      </c>
    </row>
    <row r="33">
      <c r="A33" s="52" t="inlineStr">
        <is>
          <t xml:space="preserve">        yr = ws.cell(row=r, column=2).value</t>
        </is>
      </c>
    </row>
    <row r="34">
      <c r="A34" s="52" t="inlineStr">
        <is>
          <t xml:space="preserve">        if yr is None: continue</t>
        </is>
      </c>
    </row>
    <row r="35">
      <c r="A35" s="52" t="inlineStr">
        <is>
          <t xml:space="preserve">        yr = int(yr)</t>
        </is>
      </c>
    </row>
    <row r="36">
      <c r="A36" s="52" t="inlineStr">
        <is>
          <t xml:space="preserve">        years.append(yr)</t>
        </is>
      </c>
    </row>
    <row r="37">
      <c r="A37" s="52" t="inlineStr">
        <is>
          <t xml:space="preserve">        demand[yr] = [int(ws.cell(row=r, column=c).value or 0) for c in range(3, 13)]</t>
        </is>
      </c>
    </row>
    <row r="38">
      <c r="A38" s="52" t="inlineStr">
        <is>
          <t xml:space="preserve">    ct = [[ws.cell(row=CT_START+l, column=3+p).value or 12 for p in range(10)] for l in range(15)]</t>
        </is>
      </c>
    </row>
    <row r="39">
      <c r="A39" s="52" t="inlineStr">
        <is>
          <t xml:space="preserve">    oee = [[ws.cell(row=OEE_START+l, column=3+p).value or 0.85 for p in range(10)] for l in range(15)]</t>
        </is>
      </c>
    </row>
    <row r="40">
      <c r="A40" s="52" t="inlineStr">
        <is>
          <t xml:space="preserve">    mt = [[ws.cell(row=MECH_START+i, column=3+j).value or 0 for j in range(10)] for i in range(10)]</t>
        </is>
      </c>
    </row>
    <row r="41">
      <c r="A41" s="52" t="inlineStr">
        <is>
          <t xml:space="preserve">    ot = [[ws.cell(row=OPT_START+i, column=3+j).value or 0 for j in range(10)] for i in range(10)]</t>
        </is>
      </c>
    </row>
    <row r="42">
      <c r="A42" s="52" t="inlineStr">
        <is>
          <t xml:space="preserve">    return {'years':years,'demand':demand,'avail':avail,'ct':ct,'oee':oee,'mt':mt,'ot':ot}</t>
        </is>
      </c>
    </row>
    <row r="43">
      <c r="A43" s="52" t="n"/>
    </row>
    <row r="44">
      <c r="A44" s="52" t="inlineStr">
        <is>
          <t>def eff_sec(ct_val, oee_val):</t>
        </is>
      </c>
    </row>
    <row r="45">
      <c r="A45" s="52" t="inlineStr">
        <is>
          <t xml:space="preserve">    return ct_val / oee_val if oee_val &gt; 0 else float('inf')</t>
        </is>
      </c>
    </row>
    <row r="46">
      <c r="A46" s="52" t="n"/>
    </row>
    <row r="47">
      <c r="A47" s="52" t="inlineStr">
        <is>
          <t>def solve(inp):</t>
        </is>
      </c>
    </row>
    <row r="48">
      <c r="A48" s="52" t="inlineStr">
        <is>
          <t xml:space="preserve">    years, demand, avail = inp['years'], inp['demand'], inp['avail']</t>
        </is>
      </c>
    </row>
    <row r="49">
      <c r="A49" s="52" t="inlineStr">
        <is>
          <t xml:space="preserve">    ct, oee_m = inp['ct'], inp['oee']</t>
        </is>
      </c>
    </row>
    <row r="50">
      <c r="A50" s="52" t="inlineStr">
        <is>
          <t xml:space="preserve">    alloc = {}  # (year, line, product) -&gt; units</t>
        </is>
      </c>
    </row>
    <row r="51">
      <c r="A51" s="52" t="inlineStr">
        <is>
          <t xml:space="preserve">    tooled = [set() for _ in range(NUM_LINES)]</t>
        </is>
      </c>
    </row>
    <row r="52">
      <c r="A52" s="52" t="inlineStr">
        <is>
          <t xml:space="preserve">    intro = {}</t>
        </is>
      </c>
    </row>
    <row r="53">
      <c r="A53" s="52" t="inlineStr">
        <is>
          <t xml:space="preserve">    def es(l, p): return eff_sec(ct[l][p], oee_m[l][p])</t>
        </is>
      </c>
    </row>
    <row r="54">
      <c r="A54" s="52" t="inlineStr">
        <is>
          <t xml:space="preserve">    def mu(l, p): return int(avail / es(l, p))</t>
        </is>
      </c>
    </row>
    <row r="55">
      <c r="A55" s="52" t="n"/>
    </row>
    <row r="56">
      <c r="A56" s="52" t="inlineStr">
        <is>
          <t xml:space="preserve">    for yr in years:</t>
        </is>
      </c>
    </row>
    <row r="57">
      <c r="A57" s="52" t="inlineStr">
        <is>
          <t xml:space="preserve">        d = demand.get(yr, [0]*10)</t>
        </is>
      </c>
    </row>
    <row r="58">
      <c r="A58" s="52" t="inlineStr">
        <is>
          <t xml:space="preserve">        active = [p for p in range(10) if d[p] &gt; 0]</t>
        </is>
      </c>
    </row>
    <row r="59">
      <c r="A59" s="52" t="inlineStr">
        <is>
          <t xml:space="preserve">        if not active: continue</t>
        </is>
      </c>
    </row>
    <row r="60">
      <c r="A60" s="52" t="inlineStr">
        <is>
          <t xml:space="preserve">        rem = list(d)</t>
        </is>
      </c>
    </row>
    <row r="61">
      <c r="A61" s="52" t="inlineStr">
        <is>
          <t xml:space="preserve">        ltu = [0.0] * NUM_LINES  # line time used</t>
        </is>
      </c>
    </row>
    <row r="62">
      <c r="A62" s="52" t="inlineStr">
        <is>
          <t xml:space="preserve">        td = sum(d[p] for p in active)</t>
        </is>
      </c>
    </row>
    <row r="63">
      <c r="A63" s="52" t="inlineStr">
        <is>
          <t xml:space="preserve">        tt = sum(d[p] * es(0, p) for p in active)</t>
        </is>
      </c>
    </row>
    <row r="64">
      <c r="A64" s="52" t="n"/>
    </row>
    <row r="65">
      <c r="A65" s="52" t="inlineStr">
        <is>
          <t xml:space="preserve">        # Line 1: Validation</t>
        </is>
      </c>
    </row>
    <row r="66">
      <c r="A66" s="52" t="inlineStr">
        <is>
          <t xml:space="preserve">        if tt &lt;= avail:</t>
        </is>
      </c>
    </row>
    <row r="67">
      <c r="A67" s="52" t="inlineStr">
        <is>
          <t xml:space="preserve">            for p in active:</t>
        </is>
      </c>
    </row>
    <row r="68">
      <c r="A68" s="52" t="inlineStr">
        <is>
          <t xml:space="preserve">                alloc[(yr,0,p)] = rem[p]; ltu[0] += rem[p]*es(0,p); rem[p] = 0</t>
        </is>
      </c>
    </row>
    <row r="69">
      <c r="A69" s="52" t="inlineStr">
        <is>
          <t xml:space="preserve">            tooled[0].update(active)</t>
        </is>
      </c>
    </row>
    <row r="70">
      <c r="A70" s="52" t="inlineStr">
        <is>
          <t xml:space="preserve">            if 0 not in intro: intro[0] = yr</t>
        </is>
      </c>
    </row>
    <row r="71">
      <c r="A71" s="52" t="inlineStr">
        <is>
          <t xml:space="preserve">            continue</t>
        </is>
      </c>
    </row>
    <row r="72">
      <c r="A72" s="52" t="n"/>
    </row>
    <row r="73">
      <c r="A73" s="52" t="inlineStr">
        <is>
          <t xml:space="preserve">        dom = max(active, key=lambda p: d[p])</t>
        </is>
      </c>
    </row>
    <row r="74">
      <c r="A74" s="52" t="inlineStr">
        <is>
          <t xml:space="preserve">        small = [p for p in active if p != dom]</t>
        </is>
      </c>
    </row>
    <row r="75">
      <c r="A75" s="52" t="inlineStr">
        <is>
          <t xml:space="preserve">        small_t = sum(d[p] * es(0, p) for p in small)</t>
        </is>
      </c>
    </row>
    <row r="76">
      <c r="A76" s="52" t="n"/>
    </row>
    <row r="77">
      <c r="A77" s="52" t="inlineStr">
        <is>
          <t xml:space="preserve">        if small_t &lt;= avail:</t>
        </is>
      </c>
    </row>
    <row r="78">
      <c r="A78" s="52" t="inlineStr">
        <is>
          <t xml:space="preserve">            for p in small:</t>
        </is>
      </c>
    </row>
    <row r="79">
      <c r="A79" s="52" t="inlineStr">
        <is>
          <t xml:space="preserve">                alloc[(yr,0,p)] = rem[p]; ltu[0] += rem[p]*es(0,p); rem[p] = 0</t>
        </is>
      </c>
    </row>
    <row r="80">
      <c r="A80" s="52" t="inlineStr">
        <is>
          <t xml:space="preserve">            tl = avail - ltu[0]</t>
        </is>
      </c>
    </row>
    <row r="81">
      <c r="A81" s="52" t="inlineStr">
        <is>
          <t xml:space="preserve">            u = min(rem[dom], int(tl / es(0, dom)))</t>
        </is>
      </c>
    </row>
    <row r="82">
      <c r="A82" s="52" t="inlineStr">
        <is>
          <t xml:space="preserve">            if u &gt; 0:</t>
        </is>
      </c>
    </row>
    <row r="83">
      <c r="A83" s="52" t="inlineStr">
        <is>
          <t xml:space="preserve">                alloc[(yr,0,dom)] = u; ltu[0] += u*es(0,dom); rem[dom] -= u</t>
        </is>
      </c>
    </row>
    <row r="84">
      <c r="A84" s="52" t="inlineStr">
        <is>
          <t xml:space="preserve">            tooled[0].update(active)</t>
        </is>
      </c>
    </row>
    <row r="85">
      <c r="A85" s="52" t="inlineStr">
        <is>
          <t xml:space="preserve">        else:</t>
        </is>
      </c>
    </row>
    <row r="86">
      <c r="A86" s="52" t="inlineStr">
        <is>
          <t xml:space="preserve">            for p in active:</t>
        </is>
      </c>
    </row>
    <row r="87">
      <c r="A87" s="52" t="inlineStr">
        <is>
          <t xml:space="preserve">                prop = d[p] / td</t>
        </is>
      </c>
    </row>
    <row r="88">
      <c r="A88" s="52" t="inlineStr">
        <is>
          <t xml:space="preserve">                u = min(rem[p], int((prop * avail) / es(0, p)))</t>
        </is>
      </c>
    </row>
    <row r="89">
      <c r="A89" s="52" t="inlineStr">
        <is>
          <t xml:space="preserve">                if u &gt; 0:</t>
        </is>
      </c>
    </row>
    <row r="90">
      <c r="A90" s="52" t="inlineStr">
        <is>
          <t xml:space="preserve">                    alloc[(yr,0,p)] = u; ltu[0] += u*es(0,p); rem[p] -= u</t>
        </is>
      </c>
    </row>
    <row r="91">
      <c r="A91" s="52" t="inlineStr">
        <is>
          <t xml:space="preserve">            tooled[0].update(active)</t>
        </is>
      </c>
    </row>
    <row r="92">
      <c r="A92" s="52" t="inlineStr">
        <is>
          <t xml:space="preserve">        if 0 not in intro: intro[0] = yr</t>
        </is>
      </c>
    </row>
    <row r="93">
      <c r="A93" s="52" t="n"/>
    </row>
    <row r="94">
      <c r="A94" s="52" t="inlineStr">
        <is>
          <t xml:space="preserve">        # Lines 2+: Overflow</t>
        </is>
      </c>
    </row>
    <row r="95">
      <c r="A95" s="52" t="inlineStr">
        <is>
          <t xml:space="preserve">        # Phase A: Reuse tooled lines</t>
        </is>
      </c>
    </row>
    <row r="96">
      <c r="A96" s="52" t="inlineStr">
        <is>
          <t xml:space="preserve">        for p in sorted(range(10), key=lambda p: -rem[p]):</t>
        </is>
      </c>
    </row>
    <row r="97">
      <c r="A97" s="52" t="inlineStr">
        <is>
          <t xml:space="preserve">            if rem[p] &lt;= 0: continue</t>
        </is>
      </c>
    </row>
    <row r="98">
      <c r="A98" s="52" t="inlineStr">
        <is>
          <t xml:space="preserve">            for line in range(1, NUM_LINES):</t>
        </is>
      </c>
    </row>
    <row r="99">
      <c r="A99" s="52" t="inlineStr">
        <is>
          <t xml:space="preserve">                if rem[p] &lt;= 0: break</t>
        </is>
      </c>
    </row>
    <row r="100">
      <c r="A100" s="52" t="inlineStr">
        <is>
          <t xml:space="preserve">                if p not in tooled[line]: continue</t>
        </is>
      </c>
    </row>
    <row r="101">
      <c r="A101" s="52" t="inlineStr">
        <is>
          <t xml:space="preserve">                tl = avail - ltu[line]</t>
        </is>
      </c>
    </row>
    <row r="102">
      <c r="A102" s="52" t="inlineStr">
        <is>
          <t xml:space="preserve">                if tl &lt; es(line, p): continue</t>
        </is>
      </c>
    </row>
    <row r="103">
      <c r="A103" s="52" t="inlineStr">
        <is>
          <t xml:space="preserve">                a = min(rem[p], int(tl / es(line, p)))</t>
        </is>
      </c>
    </row>
    <row r="104">
      <c r="A104" s="52" t="inlineStr">
        <is>
          <t xml:space="preserve">                alloc[(yr,line,p)] = alloc.get((yr,line,p),0) + a</t>
        </is>
      </c>
    </row>
    <row r="105">
      <c r="A105" s="52" t="inlineStr">
        <is>
          <t xml:space="preserve">                ltu[line] += a * es(line, p); rem[p] -= a</t>
        </is>
      </c>
    </row>
    <row r="106">
      <c r="A106" s="52" t="n"/>
    </row>
    <row r="107">
      <c r="A107" s="52" t="inlineStr">
        <is>
          <t xml:space="preserve">        # Phase B: Pack or open new lines</t>
        </is>
      </c>
    </row>
    <row r="108">
      <c r="A108" s="52" t="inlineStr">
        <is>
          <t xml:space="preserve">        items = [(p, rem[p]) for p in range(10) if rem[p] &gt; 0]</t>
        </is>
      </c>
    </row>
    <row r="109">
      <c r="A109" s="52" t="inlineStr">
        <is>
          <t xml:space="preserve">        items.sort(key=lambda x: -x[1])</t>
        </is>
      </c>
    </row>
    <row r="110">
      <c r="A110" s="52" t="inlineStr">
        <is>
          <t xml:space="preserve">        for p, vol in items:</t>
        </is>
      </c>
    </row>
    <row r="111">
      <c r="A111" s="52" t="inlineStr">
        <is>
          <t xml:space="preserve">            while vol &gt; 0:</t>
        </is>
      </c>
    </row>
    <row r="112">
      <c r="A112" s="52" t="inlineStr">
        <is>
          <t xml:space="preserve">                bl, bs = -1, -999999</t>
        </is>
      </c>
    </row>
    <row r="113">
      <c r="A113" s="52" t="inlineStr">
        <is>
          <t xml:space="preserve">                for line in range(1, NUM_LINES):</t>
        </is>
      </c>
    </row>
    <row r="114">
      <c r="A114" s="52" t="inlineStr">
        <is>
          <t xml:space="preserve">                    tl = avail - ltu[line]</t>
        </is>
      </c>
    </row>
    <row r="115">
      <c r="A115" s="52" t="inlineStr">
        <is>
          <t xml:space="preserve">                    if tl &lt; es(line, p): continue</t>
        </is>
      </c>
    </row>
    <row r="116">
      <c r="A116" s="52" t="inlineStr">
        <is>
          <t xml:space="preserve">                    s = 0</t>
        </is>
      </c>
    </row>
    <row r="117">
      <c r="A117" s="52" t="inlineStr">
        <is>
          <t xml:space="preserve">                    if p in tooled[line]: s += 1000000</t>
        </is>
      </c>
    </row>
    <row r="118">
      <c r="A118" s="52" t="inlineStr">
        <is>
          <t xml:space="preserve">                    if ltu[line] &gt; 0: s += 500000 + int(ltu[line]/1000)</t>
        </is>
      </c>
    </row>
    <row r="119">
      <c r="A119" s="52" t="inlineStr">
        <is>
          <t xml:space="preserve">                    s -= line</t>
        </is>
      </c>
    </row>
    <row r="120">
      <c r="A120" s="52" t="inlineStr">
        <is>
          <t xml:space="preserve">                    if s &gt; bs: bl, bs = line, s</t>
        </is>
      </c>
    </row>
    <row r="121">
      <c r="A121" s="52" t="inlineStr">
        <is>
          <t xml:space="preserve">                if bl == -1:</t>
        </is>
      </c>
    </row>
    <row r="122">
      <c r="A122" s="52" t="inlineStr">
        <is>
          <t xml:space="preserve">                    print(f'  Warning: {yr} P{p+1} cannot place {vol:,}')</t>
        </is>
      </c>
    </row>
    <row r="123">
      <c r="A123" s="52" t="inlineStr">
        <is>
          <t xml:space="preserve">                    break</t>
        </is>
      </c>
    </row>
    <row r="124">
      <c r="A124" s="52" t="inlineStr">
        <is>
          <t xml:space="preserve">                mx = int((avail - ltu[bl]) / es(bl, p))</t>
        </is>
      </c>
    </row>
    <row r="125">
      <c r="A125" s="52" t="inlineStr">
        <is>
          <t xml:space="preserve">                a = min(vol, mx)</t>
        </is>
      </c>
    </row>
    <row r="126">
      <c r="A126" s="52" t="inlineStr">
        <is>
          <t xml:space="preserve">                alloc[(yr,bl,p)] = alloc.get((yr,bl,p),0) + a</t>
        </is>
      </c>
    </row>
    <row r="127">
      <c r="A127" s="52" t="inlineStr">
        <is>
          <t xml:space="preserve">                ltu[bl] += a * es(bl, p); vol -= a</t>
        </is>
      </c>
    </row>
    <row r="128">
      <c r="A128" s="52" t="inlineStr">
        <is>
          <t xml:space="preserve">                tooled[bl].add(p)</t>
        </is>
      </c>
    </row>
    <row r="129">
      <c r="A129" s="52" t="inlineStr">
        <is>
          <t xml:space="preserve">                if bl not in intro: intro[bl] = yr</t>
        </is>
      </c>
    </row>
    <row r="130">
      <c r="A130" s="52" t="n"/>
    </row>
    <row r="131">
      <c r="A131" s="52" t="inlineStr">
        <is>
          <t xml:space="preserve">    # Look-ahead: pre-add tooling during intro year</t>
        </is>
      </c>
    </row>
    <row r="132">
      <c r="A132" s="52" t="inlineStr">
        <is>
          <t xml:space="preserve">    for line in sorted(intro.keys()):</t>
        </is>
      </c>
    </row>
    <row r="133">
      <c r="A133" s="52" t="inlineStr">
        <is>
          <t xml:space="preserve">        iy = intro[line]</t>
        </is>
      </c>
    </row>
    <row r="134">
      <c r="A134" s="52" t="inlineStr">
        <is>
          <t xml:space="preserve">        for fy in range(iy+1, min(iy+LOOK_AHEAD_YEARS+1, max(years)+1)):</t>
        </is>
      </c>
    </row>
    <row r="135">
      <c r="A135" s="52" t="inlineStr">
        <is>
          <t xml:space="preserve">            for p in range(10):</t>
        </is>
      </c>
    </row>
    <row r="136">
      <c r="A136" s="52" t="inlineStr">
        <is>
          <t xml:space="preserve">                if alloc.get((fy, line, p), 0) &gt; 0:</t>
        </is>
      </c>
    </row>
    <row r="137">
      <c r="A137" s="52" t="inlineStr">
        <is>
          <t xml:space="preserve">                    tooled[line].add(p)</t>
        </is>
      </c>
    </row>
    <row r="138">
      <c r="A138" s="52" t="n"/>
    </row>
    <row r="139">
      <c r="A139" s="52" t="inlineStr">
        <is>
          <t xml:space="preserve">    return alloc, tooled, intro</t>
        </is>
      </c>
    </row>
    <row r="140">
      <c r="A140" s="52" t="n"/>
    </row>
    <row r="141">
      <c r="A141" s="52" t="inlineStr">
        <is>
          <t>def write_output(ws, alloc, years):</t>
        </is>
      </c>
    </row>
    <row r="142">
      <c r="A142" s="52" t="inlineStr">
        <is>
          <t xml:space="preserve">    for r in range(OUTPUT_START, OUTPUT_START + len(years)):</t>
        </is>
      </c>
    </row>
    <row r="143">
      <c r="A143" s="52" t="inlineStr">
        <is>
          <t xml:space="preserve">        for c in range(3, 3 + NUM_LINES * NUM_PRODUCTS):</t>
        </is>
      </c>
    </row>
    <row r="144">
      <c r="A144" s="52" t="inlineStr">
        <is>
          <t xml:space="preserve">            ws.cell(row=r, column=c).value = None</t>
        </is>
      </c>
    </row>
    <row r="145">
      <c r="A145" s="52" t="inlineStr">
        <is>
          <t xml:space="preserve">    n = 0</t>
        </is>
      </c>
    </row>
    <row r="146">
      <c r="A146" s="52" t="inlineStr">
        <is>
          <t xml:space="preserve">    for yr in years:</t>
        </is>
      </c>
    </row>
    <row r="147">
      <c r="A147" s="52" t="inlineStr">
        <is>
          <t xml:space="preserve">        row = OUTPUT_START + (yr - years[0])</t>
        </is>
      </c>
    </row>
    <row r="148">
      <c r="A148" s="52" t="inlineStr">
        <is>
          <t xml:space="preserve">        for line in range(NUM_LINES):</t>
        </is>
      </c>
    </row>
    <row r="149">
      <c r="A149" s="52" t="inlineStr">
        <is>
          <t xml:space="preserve">            for prod in range(NUM_PRODUCTS):</t>
        </is>
      </c>
    </row>
    <row r="150">
      <c r="A150" s="52" t="inlineStr">
        <is>
          <t xml:space="preserve">                v = alloc.get((yr, line, prod), 0)</t>
        </is>
      </c>
    </row>
    <row r="151">
      <c r="A151" s="52" t="inlineStr">
        <is>
          <t xml:space="preserve">                if v &gt; 0:</t>
        </is>
      </c>
    </row>
    <row r="152">
      <c r="A152" s="52" t="inlineStr">
        <is>
          <t xml:space="preserve">                    ws.cell(row=row, column=3+line*10+prod).value = v</t>
        </is>
      </c>
    </row>
    <row r="153">
      <c r="A153" s="52" t="inlineStr">
        <is>
          <t xml:space="preserve">                    n += 1</t>
        </is>
      </c>
    </row>
    <row r="154">
      <c r="A154" s="52" t="inlineStr">
        <is>
          <t xml:space="preserve">    return n</t>
        </is>
      </c>
    </row>
    <row r="155">
      <c r="A155" s="52" t="n"/>
    </row>
    <row r="156">
      <c r="A156" s="52" t="inlineStr">
        <is>
          <t>def verify(alloc, inp):</t>
        </is>
      </c>
    </row>
    <row r="157">
      <c r="A157" s="52" t="inlineStr">
        <is>
          <t xml:space="preserve">    ok = True</t>
        </is>
      </c>
    </row>
    <row r="158">
      <c r="A158" s="52" t="inlineStr">
        <is>
          <t xml:space="preserve">    for yr in inp['years']:</t>
        </is>
      </c>
    </row>
    <row r="159">
      <c r="A159" s="52" t="inlineStr">
        <is>
          <t xml:space="preserve">        d = inp['demand'].get(yr, [0]*10)</t>
        </is>
      </c>
    </row>
    <row r="160">
      <c r="A160" s="52" t="inlineStr">
        <is>
          <t xml:space="preserve">        if sum(d) == 0: continue</t>
        </is>
      </c>
    </row>
    <row r="161">
      <c r="A161" s="52" t="inlineStr">
        <is>
          <t xml:space="preserve">        ta = [0]*10</t>
        </is>
      </c>
    </row>
    <row r="162">
      <c r="A162" s="52" t="inlineStr">
        <is>
          <t xml:space="preserve">        for l in range(NUM_LINES):</t>
        </is>
      </c>
    </row>
    <row r="163">
      <c r="A163" s="52" t="inlineStr">
        <is>
          <t xml:space="preserve">            for p in range(10): ta[p] += alloc.get((yr,l,p), 0)</t>
        </is>
      </c>
    </row>
    <row r="164">
      <c r="A164" s="52" t="inlineStr">
        <is>
          <t xml:space="preserve">        for p in range(10):</t>
        </is>
      </c>
    </row>
    <row r="165">
      <c r="A165" s="52" t="inlineStr">
        <is>
          <t xml:space="preserve">            if abs(d[p] - ta[p]) &gt; 1:</t>
        </is>
      </c>
    </row>
    <row r="166">
      <c r="A166" s="52" t="inlineStr">
        <is>
          <t xml:space="preserve">                print(f'  X {yr} P{p+1}: demand={d[p]:,} alloc={ta[p]:,}')</t>
        </is>
      </c>
    </row>
    <row r="167">
      <c r="A167" s="52" t="inlineStr">
        <is>
          <t xml:space="preserve">                ok = False</t>
        </is>
      </c>
    </row>
    <row r="168">
      <c r="A168" s="52" t="inlineStr">
        <is>
          <t xml:space="preserve">        for l in range(NUM_LINES):</t>
        </is>
      </c>
    </row>
    <row r="169">
      <c r="A169" s="52" t="inlineStr">
        <is>
          <t xml:space="preserve">            t = sum(alloc.get((yr,l,p),0)*eff_sec(inp['ct'][l][p],inp['oee'][l][p]) for p in range(10))</t>
        </is>
      </c>
    </row>
    <row r="170">
      <c r="A170" s="52" t="inlineStr">
        <is>
          <t xml:space="preserve">            if t &gt; inp['avail'] * 1.001:</t>
        </is>
      </c>
    </row>
    <row r="171">
      <c r="A171" s="52" t="inlineStr">
        <is>
          <t xml:space="preserve">                print(f'  X {yr} Line {l+1}: time exceeded')</t>
        </is>
      </c>
    </row>
    <row r="172">
      <c r="A172" s="52" t="inlineStr">
        <is>
          <t xml:space="preserve">                ok = False</t>
        </is>
      </c>
    </row>
    <row r="173">
      <c r="A173" s="52" t="inlineStr">
        <is>
          <t xml:space="preserve">    return ok</t>
        </is>
      </c>
    </row>
    <row r="174">
      <c r="A174" s="52" t="n"/>
    </row>
    <row r="175">
      <c r="A175" s="52" t="inlineStr">
        <is>
          <t>def main():</t>
        </is>
      </c>
    </row>
    <row r="176">
      <c r="A176" s="52" t="inlineStr">
        <is>
          <t xml:space="preserve">    parser = argparse.ArgumentParser(description='Production line optimizer')</t>
        </is>
      </c>
    </row>
    <row r="177">
      <c r="A177" s="52" t="inlineStr">
        <is>
          <t xml:space="preserve">    parser.add_argument('workbook', nargs='?', default='LineToolingOptimization.xlsx')</t>
        </is>
      </c>
    </row>
    <row r="178">
      <c r="A178" s="52" t="inlineStr">
        <is>
          <t xml:space="preserve">    args = parser.parse_args()</t>
        </is>
      </c>
    </row>
    <row r="179">
      <c r="A179" s="52" t="inlineStr">
        <is>
          <t xml:space="preserve">    path = Path(args.workbook)</t>
        </is>
      </c>
    </row>
    <row r="180">
      <c r="A180" s="52" t="inlineStr">
        <is>
          <t xml:space="preserve">    if not path.exists(): print(f'Error: {path} not found'); sys.exit(1)</t>
        </is>
      </c>
    </row>
    <row r="181">
      <c r="A181" s="52" t="n"/>
    </row>
    <row r="182">
      <c r="A182" s="52" t="inlineStr">
        <is>
          <t xml:space="preserve">    print(f'Loading {path} ...')</t>
        </is>
      </c>
    </row>
    <row r="183">
      <c r="A183" s="52" t="inlineStr">
        <is>
          <t xml:space="preserve">    wb = openpyxl.load_workbook(str(path))</t>
        </is>
      </c>
    </row>
    <row r="184">
      <c r="A184" s="52" t="inlineStr">
        <is>
          <t xml:space="preserve">    inp = load_inputs(wb)</t>
        </is>
      </c>
    </row>
    <row r="185">
      <c r="A185" s="52" t="inlineStr">
        <is>
          <t xml:space="preserve">    print(f'  Avail seconds: {inp["avail"]:,.0f}')</t>
        </is>
      </c>
    </row>
    <row r="186">
      <c r="A186" s="52" t="n"/>
    </row>
    <row r="187">
      <c r="A187" s="52" t="inlineStr">
        <is>
          <t xml:space="preserve">    print('Running solver ...')</t>
        </is>
      </c>
    </row>
    <row r="188">
      <c r="A188" s="52" t="inlineStr">
        <is>
          <t xml:space="preserve">    alloc, tooled, intro = solve(inp)</t>
        </is>
      </c>
    </row>
    <row r="189">
      <c r="A189" s="52" t="n"/>
    </row>
    <row r="190">
      <c r="A190" s="52" t="inlineStr">
        <is>
          <t xml:space="preserve">    print('Verifying ...')</t>
        </is>
      </c>
    </row>
    <row r="191">
      <c r="A191" s="52" t="inlineStr">
        <is>
          <t xml:space="preserve">    ok = verify(alloc, inp)</t>
        </is>
      </c>
    </row>
    <row r="192">
      <c r="A192" s="52" t="inlineStr">
        <is>
          <t xml:space="preserve">    print(f'  {"All OK" if ok else "Issues found"}')</t>
        </is>
      </c>
    </row>
    <row r="193">
      <c r="A193" s="52" t="n"/>
    </row>
    <row r="194">
      <c r="A194" s="52" t="inlineStr">
        <is>
          <t xml:space="preserve">    tm = sum(len(s) for s in tooled)</t>
        </is>
      </c>
    </row>
    <row r="195">
      <c r="A195" s="52" t="inlineStr">
        <is>
          <t xml:space="preserve">    print(f'Tooling: {tm} mech + {tm} opt = {tm*2} sets')</t>
        </is>
      </c>
    </row>
    <row r="196">
      <c r="A196" s="52" t="inlineStr">
        <is>
          <t xml:space="preserve">    for l in sorted(intro.keys()):</t>
        </is>
      </c>
    </row>
    <row r="197">
      <c r="A197" s="52" t="inlineStr">
        <is>
          <t xml:space="preserve">        ps = sorted([f"P{p+1}" for p in tooled[l]])</t>
        </is>
      </c>
    </row>
    <row r="198">
      <c r="A198" s="52" t="inlineStr">
        <is>
          <t xml:space="preserve">        print(f'  Line {l+1} ({intro[l]}): {ps}')</t>
        </is>
      </c>
    </row>
    <row r="199">
      <c r="A199" s="52" t="n"/>
    </row>
    <row r="200">
      <c r="A200" s="52" t="inlineStr">
        <is>
          <t xml:space="preserve">    ws = wb[SHEET_NAME]</t>
        </is>
      </c>
    </row>
    <row r="201">
      <c r="A201" s="52" t="inlineStr">
        <is>
          <t xml:space="preserve">    n = write_output(ws, alloc, inp['years'])</t>
        </is>
      </c>
    </row>
    <row r="202">
      <c r="A202" s="52" t="inlineStr">
        <is>
          <t xml:space="preserve">    print(f'Wrote {n} cells to output grid')</t>
        </is>
      </c>
    </row>
    <row r="203">
      <c r="A203" s="52" t="n"/>
    </row>
    <row r="204">
      <c r="A204" s="52" t="inlineStr">
        <is>
          <t xml:space="preserve">    print(f'Saving {path} ...')</t>
        </is>
      </c>
    </row>
    <row r="205">
      <c r="A205" s="52" t="inlineStr">
        <is>
          <t xml:space="preserve">    wb.save(str(path))</t>
        </is>
      </c>
    </row>
    <row r="206">
      <c r="A206" s="52" t="inlineStr">
        <is>
          <t xml:space="preserve">    print('Done!')</t>
        </is>
      </c>
    </row>
    <row r="207">
      <c r="A207" s="52" t="n"/>
    </row>
    <row r="208">
      <c r="A208" s="52" t="inlineStr">
        <is>
          <t>if __name__ == '__main__':</t>
        </is>
      </c>
    </row>
    <row r="209">
      <c r="A209" s="52" t="inlineStr">
        <is>
          <t xml:space="preserve">    main()</t>
        </is>
      </c>
    </row>
    <row r="210">
      <c r="A210" s="52" t="n"/>
    </row>
    <row r="211">
      <c r="A211" s="52" t="n"/>
    </row>
    <row r="212">
      <c r="A212" s="52" t="n"/>
    </row>
    <row r="213">
      <c r="A213" s="52" t="n"/>
    </row>
    <row r="214">
      <c r="A214" s="52" t="n"/>
    </row>
    <row r="215">
      <c r="A215" s="52" t="n"/>
    </row>
    <row r="216">
      <c r="A216" s="52" t="n"/>
    </row>
    <row r="217">
      <c r="A217" s="52" t="n"/>
    </row>
    <row r="218">
      <c r="A218" s="52" t="n"/>
    </row>
    <row r="219">
      <c r="A219" s="52" t="n"/>
    </row>
    <row r="220">
      <c r="A220" s="52" t="n"/>
    </row>
    <row r="221">
      <c r="A221" s="52" t="n"/>
    </row>
    <row r="222">
      <c r="A222" s="52" t="n"/>
    </row>
    <row r="223">
      <c r="A223" s="52" t="n"/>
    </row>
    <row r="224">
      <c r="A224" s="52" t="n"/>
    </row>
    <row r="225">
      <c r="A225" s="52" t="n"/>
    </row>
    <row r="226">
      <c r="A226" s="52" t="n"/>
    </row>
    <row r="227">
      <c r="A227" s="52" t="n"/>
    </row>
    <row r="228">
      <c r="A228" s="52" t="n"/>
    </row>
    <row r="229">
      <c r="A229" s="52" t="n"/>
    </row>
    <row r="230">
      <c r="A230" s="52" t="n"/>
    </row>
    <row r="231">
      <c r="A231" s="52" t="n"/>
    </row>
    <row r="232">
      <c r="A232" s="52" t="n"/>
    </row>
    <row r="233">
      <c r="A233" s="52" t="n"/>
    </row>
    <row r="234">
      <c r="A234" s="52" t="n"/>
    </row>
    <row r="235">
      <c r="A235" s="52" t="n"/>
    </row>
    <row r="236">
      <c r="A236" s="52" t="n"/>
    </row>
    <row r="237">
      <c r="A237" s="52" t="n"/>
    </row>
    <row r="238">
      <c r="A238" s="52" t="n"/>
    </row>
    <row r="239">
      <c r="A239" s="52" t="n"/>
    </row>
    <row r="240">
      <c r="A240" s="52" t="n"/>
    </row>
    <row r="241">
      <c r="A241" s="52" t="n"/>
    </row>
    <row r="242">
      <c r="A242" s="52" t="n"/>
    </row>
    <row r="243">
      <c r="A243" s="52" t="n"/>
    </row>
    <row r="244">
      <c r="A244" s="52" t="n"/>
    </row>
    <row r="245">
      <c r="A245" s="52" t="n"/>
    </row>
    <row r="246">
      <c r="A246" s="52" t="n"/>
    </row>
    <row r="247">
      <c r="A247" s="52" t="n"/>
    </row>
    <row r="248">
      <c r="A248" s="52" t="n"/>
    </row>
    <row r="249">
      <c r="A249" s="52" t="n"/>
    </row>
    <row r="250">
      <c r="A250" s="52" t="n"/>
    </row>
    <row r="251">
      <c r="A251" s="52" t="n"/>
    </row>
    <row r="252">
      <c r="A252" s="52" t="n"/>
    </row>
    <row r="253">
      <c r="A253" s="52" t="n"/>
    </row>
    <row r="254">
      <c r="A254" s="52" t="n"/>
    </row>
    <row r="255">
      <c r="A255" s="52" t="n"/>
    </row>
    <row r="256">
      <c r="A256" s="52" t="n"/>
    </row>
    <row r="257">
      <c r="A257" s="52" t="n"/>
    </row>
    <row r="258">
      <c r="A258" s="52" t="n"/>
    </row>
    <row r="259">
      <c r="A259" s="52" t="n"/>
    </row>
    <row r="260">
      <c r="A260" s="52" t="n"/>
    </row>
    <row r="261">
      <c r="A261" s="52" t="n"/>
    </row>
    <row r="262">
      <c r="A262" s="52" t="n"/>
    </row>
    <row r="263">
      <c r="A263" s="52" t="n"/>
    </row>
    <row r="264">
      <c r="A264" s="52" t="n"/>
    </row>
    <row r="265">
      <c r="A265" s="52" t="n"/>
    </row>
    <row r="266">
      <c r="A266" s="52" t="n"/>
    </row>
    <row r="267">
      <c r="A267" s="52" t="n"/>
    </row>
    <row r="268">
      <c r="A268" s="52" t="n"/>
    </row>
    <row r="269">
      <c r="A269" s="52" t="n"/>
    </row>
    <row r="270">
      <c r="A270" s="52" t="n"/>
    </row>
    <row r="271">
      <c r="A271" s="52" t="n"/>
    </row>
    <row r="272">
      <c r="A272" s="52" t="n"/>
    </row>
    <row r="273">
      <c r="A273" s="52" t="n"/>
    </row>
    <row r="274">
      <c r="A274" s="52" t="n"/>
    </row>
    <row r="275">
      <c r="A275" s="52" t="n"/>
    </row>
    <row r="276">
      <c r="A276" s="52" t="n"/>
    </row>
    <row r="277">
      <c r="A277" s="52" t="n"/>
    </row>
    <row r="278">
      <c r="A278" s="52" t="n"/>
    </row>
    <row r="279">
      <c r="A279" s="52" t="n"/>
    </row>
    <row r="280">
      <c r="A280" s="52" t="n"/>
    </row>
    <row r="281">
      <c r="A281" s="52" t="n"/>
    </row>
    <row r="282">
      <c r="A282" s="52" t="n"/>
    </row>
    <row r="283">
      <c r="A283" s="52" t="n"/>
    </row>
    <row r="284">
      <c r="A284" s="52" t="n"/>
    </row>
    <row r="285">
      <c r="A285" s="52" t="n"/>
    </row>
    <row r="286">
      <c r="A286" s="52" t="n"/>
    </row>
    <row r="287">
      <c r="A287" s="52" t="n"/>
    </row>
    <row r="288">
      <c r="A288" s="52" t="n"/>
    </row>
    <row r="289">
      <c r="A289" s="52" t="n"/>
    </row>
    <row r="290">
      <c r="A290" s="52" t="n"/>
    </row>
    <row r="291">
      <c r="A291" s="52" t="n"/>
    </row>
    <row r="292">
      <c r="A292" s="52" t="n"/>
    </row>
    <row r="293">
      <c r="A293" s="52" t="n"/>
    </row>
    <row r="294">
      <c r="A294" s="52" t="n"/>
    </row>
    <row r="295">
      <c r="A295" s="52" t="n"/>
    </row>
    <row r="296">
      <c r="A296" s="52" t="n"/>
    </row>
    <row r="297">
      <c r="A297" s="52" t="n"/>
    </row>
    <row r="298">
      <c r="A298" s="52" t="n"/>
    </row>
    <row r="299">
      <c r="A299" s="52" t="n"/>
    </row>
    <row r="300">
      <c r="A300" s="52" t="n"/>
    </row>
    <row r="301">
      <c r="A301" s="52" t="n"/>
    </row>
    <row r="302">
      <c r="A302" s="52" t="n"/>
    </row>
    <row r="303">
      <c r="A303" s="52" t="n"/>
    </row>
    <row r="304">
      <c r="A304" s="52" t="n"/>
    </row>
    <row r="305">
      <c r="A305" s="52" t="n"/>
    </row>
    <row r="306">
      <c r="A306" s="52" t="n"/>
    </row>
    <row r="307">
      <c r="A307" s="52" t="n"/>
    </row>
    <row r="308">
      <c r="A308" s="52" t="n"/>
    </row>
    <row r="309">
      <c r="A309" s="52" t="n"/>
    </row>
    <row r="310">
      <c r="A310" s="52" t="n"/>
    </row>
    <row r="311">
      <c r="A311" s="52" t="n"/>
    </row>
    <row r="312">
      <c r="A312" s="52" t="n"/>
    </row>
    <row r="313">
      <c r="A313" s="52" t="n"/>
    </row>
    <row r="314">
      <c r="A314" s="52" t="n"/>
    </row>
    <row r="315">
      <c r="A315" s="52" t="n"/>
    </row>
    <row r="316">
      <c r="A316" s="52" t="n"/>
    </row>
    <row r="317">
      <c r="A317" s="52" t="n"/>
    </row>
    <row r="318">
      <c r="A318" s="52" t="n"/>
    </row>
    <row r="319">
      <c r="A319" s="52" t="n"/>
    </row>
    <row r="320">
      <c r="A320" s="52" t="n"/>
    </row>
    <row r="321">
      <c r="A321" s="52" t="n"/>
    </row>
    <row r="322">
      <c r="A322" s="52" t="n"/>
    </row>
    <row r="323">
      <c r="A323" s="52" t="n"/>
    </row>
    <row r="324">
      <c r="A324" s="52" t="n"/>
    </row>
    <row r="325">
      <c r="A325" s="52" t="n"/>
    </row>
    <row r="326">
      <c r="A326" s="52" t="n"/>
    </row>
    <row r="327">
      <c r="A327" s="52" t="n"/>
    </row>
    <row r="328">
      <c r="A328" s="52" t="n"/>
    </row>
    <row r="329">
      <c r="A329" s="52" t="n"/>
    </row>
    <row r="330">
      <c r="A330" s="52" t="n"/>
    </row>
    <row r="331">
      <c r="A331" s="52" t="n"/>
    </row>
    <row r="332">
      <c r="A332" s="52" t="n"/>
    </row>
    <row r="333">
      <c r="A333" s="52" t="n"/>
    </row>
    <row r="334">
      <c r="A334" s="52" t="n"/>
    </row>
    <row r="335">
      <c r="A335" s="52" t="n"/>
    </row>
    <row r="336">
      <c r="A336" s="52" t="n"/>
    </row>
    <row r="337">
      <c r="A337" s="52" t="n"/>
    </row>
    <row r="338">
      <c r="A338" s="52" t="n"/>
    </row>
    <row r="339">
      <c r="A339" s="52" t="n"/>
    </row>
    <row r="340">
      <c r="A340" s="52" t="n"/>
    </row>
    <row r="341">
      <c r="A341" s="52" t="n"/>
    </row>
    <row r="342">
      <c r="A342" s="52" t="n"/>
    </row>
    <row r="343">
      <c r="A343" s="52" t="n"/>
    </row>
    <row r="344">
      <c r="A344" s="52" t="n"/>
    </row>
    <row r="345">
      <c r="A345" s="52" t="n"/>
    </row>
    <row r="346">
      <c r="A346" s="52" t="n"/>
    </row>
    <row r="347">
      <c r="A347" s="52" t="n"/>
    </row>
    <row r="348">
      <c r="A348" s="52" t="n"/>
    </row>
    <row r="349">
      <c r="A349" s="52" t="n"/>
    </row>
    <row r="350">
      <c r="A350" s="52" t="n"/>
    </row>
    <row r="351">
      <c r="A351" s="52" t="n"/>
    </row>
    <row r="352">
      <c r="A352" s="52" t="n"/>
    </row>
    <row r="353">
      <c r="A353" s="52" t="n"/>
    </row>
    <row r="354">
      <c r="A354" s="52" t="n"/>
    </row>
    <row r="355">
      <c r="A355" s="52" t="n"/>
    </row>
    <row r="356">
      <c r="A356" s="52" t="n"/>
    </row>
    <row r="357">
      <c r="A357" s="52" t="n"/>
    </row>
    <row r="358">
      <c r="A358" s="52" t="n"/>
    </row>
    <row r="359">
      <c r="A359" s="52" t="n"/>
    </row>
    <row r="360">
      <c r="A360" s="52" t="n"/>
    </row>
    <row r="361">
      <c r="A361" s="52" t="n"/>
    </row>
    <row r="362">
      <c r="A362" s="52" t="n"/>
    </row>
    <row r="363">
      <c r="A363" s="52" t="n"/>
    </row>
    <row r="364">
      <c r="A364" s="52" t="n"/>
    </row>
    <row r="365">
      <c r="A365" s="52" t="n"/>
    </row>
    <row r="366">
      <c r="A366" s="52" t="n"/>
    </row>
    <row r="367">
      <c r="A367" s="52" t="n"/>
    </row>
    <row r="368">
      <c r="A368" s="52" t="n"/>
    </row>
    <row r="369">
      <c r="A369" s="52" t="n"/>
    </row>
    <row r="370">
      <c r="A370" s="52" t="n"/>
    </row>
    <row r="371">
      <c r="A371" s="52" t="n"/>
    </row>
    <row r="372">
      <c r="A372" s="52" t="n"/>
    </row>
    <row r="373">
      <c r="A373" s="52" t="n"/>
    </row>
    <row r="374">
      <c r="A374" s="52" t="n"/>
    </row>
    <row r="375">
      <c r="A375" s="52" t="n"/>
    </row>
    <row r="376">
      <c r="A376" s="52" t="n"/>
    </row>
    <row r="377">
      <c r="A377" s="52" t="n"/>
    </row>
    <row r="378">
      <c r="A378" s="52" t="n"/>
    </row>
    <row r="379">
      <c r="A379" s="52" t="n"/>
    </row>
    <row r="380">
      <c r="A380" s="52" t="n"/>
    </row>
    <row r="381">
      <c r="A381" s="52" t="n"/>
    </row>
    <row r="382">
      <c r="A382" s="52" t="n"/>
    </row>
    <row r="383">
      <c r="A383" s="52" t="n"/>
    </row>
    <row r="384">
      <c r="A384" s="52" t="n"/>
    </row>
    <row r="385">
      <c r="A385" s="52" t="n"/>
    </row>
    <row r="386">
      <c r="A386" s="52" t="n"/>
    </row>
    <row r="387">
      <c r="A387" s="52" t="n"/>
    </row>
    <row r="388">
      <c r="A388" s="52" t="n"/>
    </row>
    <row r="389">
      <c r="A389" s="52" t="n"/>
    </row>
    <row r="390">
      <c r="A390" s="52" t="n"/>
    </row>
    <row r="391">
      <c r="A391" s="52" t="n"/>
    </row>
    <row r="392">
      <c r="A392" s="52" t="n"/>
    </row>
    <row r="393">
      <c r="A393" s="52" t="n"/>
    </row>
    <row r="394">
      <c r="A394" s="52" t="n"/>
    </row>
    <row r="395">
      <c r="A395" s="52" t="n"/>
    </row>
    <row r="396">
      <c r="A396" s="52" t="n"/>
    </row>
    <row r="397">
      <c r="A397" s="52" t="n"/>
    </row>
    <row r="398">
      <c r="A398" s="52" t="n"/>
    </row>
    <row r="399">
      <c r="A399" s="52" t="n"/>
    </row>
    <row r="400">
      <c r="A400" s="52" t="n"/>
    </row>
    <row r="401">
      <c r="A401" s="52" t="n"/>
    </row>
    <row r="402">
      <c r="A402" s="52" t="n"/>
    </row>
    <row r="403">
      <c r="A403" s="52" t="n"/>
    </row>
    <row r="404">
      <c r="A404" s="52" t="n"/>
    </row>
    <row r="405">
      <c r="A405" s="52" t="n"/>
    </row>
    <row r="406">
      <c r="A406" s="52" t="n"/>
    </row>
    <row r="407">
      <c r="A407" s="52" t="n"/>
    </row>
    <row r="408">
      <c r="A408" s="52" t="n"/>
    </row>
    <row r="409">
      <c r="A409" s="52" t="n"/>
    </row>
    <row r="410">
      <c r="A410" s="52" t="n"/>
    </row>
    <row r="411">
      <c r="A411" s="52" t="n"/>
    </row>
    <row r="412">
      <c r="A412" s="52" t="n"/>
    </row>
    <row r="413">
      <c r="A413" s="52" t="n"/>
    </row>
    <row r="414">
      <c r="A414" s="52" t="n"/>
    </row>
    <row r="415">
      <c r="A415" s="52" t="n"/>
    </row>
    <row r="416">
      <c r="A416" s="52" t="n"/>
    </row>
    <row r="417">
      <c r="A417" s="52" t="n"/>
    </row>
    <row r="418">
      <c r="A418" s="52" t="n"/>
    </row>
    <row r="419">
      <c r="A419" s="52" t="n"/>
    </row>
    <row r="420">
      <c r="A420" s="52" t="n"/>
    </row>
    <row r="421">
      <c r="A421" s="52" t="n"/>
    </row>
    <row r="422">
      <c r="A422" s="52" t="n"/>
    </row>
    <row r="423">
      <c r="A423" s="52" t="n"/>
    </row>
    <row r="424">
      <c r="A424" s="52" t="n"/>
    </row>
    <row r="425">
      <c r="A425" s="52" t="n"/>
    </row>
    <row r="426">
      <c r="A426" s="52" t="n"/>
    </row>
    <row r="427">
      <c r="A427" s="52" t="n"/>
    </row>
    <row r="428">
      <c r="A428" s="52" t="n"/>
    </row>
    <row r="429">
      <c r="A429" s="52" t="n"/>
    </row>
    <row r="430">
      <c r="A430" s="52" t="n"/>
    </row>
    <row r="431">
      <c r="A431" s="52" t="n"/>
    </row>
    <row r="432">
      <c r="A432" s="52" t="n"/>
    </row>
    <row r="433">
      <c r="A433" s="52" t="n"/>
    </row>
    <row r="434">
      <c r="A434" s="52" t="n"/>
    </row>
    <row r="435">
      <c r="A435" s="52" t="n"/>
    </row>
    <row r="436">
      <c r="A436" s="52" t="n"/>
    </row>
    <row r="437">
      <c r="A437" s="52" t="n"/>
    </row>
    <row r="438">
      <c r="A438" s="52" t="n"/>
    </row>
    <row r="439">
      <c r="A439" s="52" t="n"/>
    </row>
    <row r="440">
      <c r="A440" s="52" t="n"/>
    </row>
    <row r="441">
      <c r="A441" s="52" t="n"/>
    </row>
    <row r="442">
      <c r="A442" s="52" t="n"/>
    </row>
    <row r="443">
      <c r="A443" s="52" t="n"/>
    </row>
    <row r="444">
      <c r="A444" s="52" t="n"/>
    </row>
    <row r="445">
      <c r="A445" s="52" t="n"/>
    </row>
    <row r="446">
      <c r="A446" s="52" t="n"/>
    </row>
    <row r="447">
      <c r="A447" s="52" t="n"/>
    </row>
    <row r="448">
      <c r="A448" s="52" t="n"/>
    </row>
    <row r="449">
      <c r="A449" s="52" t="n"/>
    </row>
    <row r="450">
      <c r="A450" s="52" t="n"/>
    </row>
    <row r="451">
      <c r="A451" s="52" t="n"/>
    </row>
    <row r="452">
      <c r="A452" s="52" t="n"/>
    </row>
    <row r="453">
      <c r="A453" s="52" t="n"/>
    </row>
    <row r="454">
      <c r="A454" s="52" t="n"/>
    </row>
    <row r="455">
      <c r="A455" s="52" t="n"/>
    </row>
    <row r="456">
      <c r="A456" s="52" t="n"/>
    </row>
    <row r="457">
      <c r="A457" s="52" t="n"/>
    </row>
    <row r="458">
      <c r="A458" s="52" t="n"/>
    </row>
    <row r="459">
      <c r="A459" s="52" t="n"/>
    </row>
    <row r="460">
      <c r="A460" s="52" t="n"/>
    </row>
    <row r="461">
      <c r="A461" s="52" t="n"/>
    </row>
    <row r="462">
      <c r="A462" s="52" t="n"/>
    </row>
    <row r="463">
      <c r="A463" s="52" t="n"/>
    </row>
    <row r="464">
      <c r="A464" s="52" t="n"/>
    </row>
    <row r="465">
      <c r="A465" s="52" t="n"/>
    </row>
    <row r="466">
      <c r="A466" s="52" t="n"/>
    </row>
    <row r="467">
      <c r="A467" s="52" t="n"/>
    </row>
    <row r="468">
      <c r="A468" s="52" t="n"/>
    </row>
    <row r="469">
      <c r="A469" s="52" t="n"/>
    </row>
    <row r="470">
      <c r="A470" s="52" t="n"/>
    </row>
    <row r="471">
      <c r="A471" s="52" t="n"/>
    </row>
    <row r="472">
      <c r="A472" s="52" t="n"/>
    </row>
    <row r="473">
      <c r="A473" s="52" t="n"/>
    </row>
    <row r="474">
      <c r="A474" s="52" t="n"/>
    </row>
    <row r="475">
      <c r="A475" s="52" t="n"/>
    </row>
    <row r="476">
      <c r="A476" s="52" t="n"/>
    </row>
    <row r="477">
      <c r="A477" s="52" t="n"/>
    </row>
    <row r="478">
      <c r="A478" s="52" t="n"/>
    </row>
    <row r="479">
      <c r="A479" s="52" t="n"/>
    </row>
    <row r="480">
      <c r="A480" s="52" t="n"/>
    </row>
    <row r="481">
      <c r="A481" s="52" t="n"/>
    </row>
    <row r="482">
      <c r="A482" s="52" t="n"/>
    </row>
    <row r="483">
      <c r="A483" s="52" t="n"/>
    </row>
    <row r="484">
      <c r="A484" s="52" t="n"/>
    </row>
    <row r="485">
      <c r="A485" s="52" t="n"/>
    </row>
    <row r="486">
      <c r="A486" s="52" t="n"/>
    </row>
    <row r="487">
      <c r="A487" s="52" t="n"/>
    </row>
    <row r="488">
      <c r="A488" s="52" t="n"/>
    </row>
    <row r="489">
      <c r="A489" s="52" t="n"/>
    </row>
    <row r="490">
      <c r="A490" s="52" t="n"/>
    </row>
    <row r="491">
      <c r="A491" s="52" t="n"/>
    </row>
    <row r="492">
      <c r="A492" s="52" t="n"/>
    </row>
    <row r="493">
      <c r="A493" s="52" t="n"/>
    </row>
    <row r="494">
      <c r="A494" s="52" t="n"/>
    </row>
    <row r="495">
      <c r="A495" s="52" t="n"/>
    </row>
    <row r="496">
      <c r="A496" s="52" t="n"/>
    </row>
    <row r="497">
      <c r="A497" s="52" t="n"/>
    </row>
    <row r="498">
      <c r="A498" s="52" t="n"/>
    </row>
    <row r="499">
      <c r="A499" s="52" t="n"/>
    </row>
    <row r="500">
      <c r="A500" s="52" t="n"/>
    </row>
    <row r="501">
      <c r="A501" s="52" t="n"/>
    </row>
    <row r="502">
      <c r="A502" s="52" t="n"/>
    </row>
    <row r="503">
      <c r="A503" s="52" t="n"/>
    </row>
    <row r="504">
      <c r="A504" s="52" t="n"/>
    </row>
    <row r="505">
      <c r="A505" s="52" t="n"/>
    </row>
    <row r="506">
      <c r="A506" s="52" t="n"/>
    </row>
    <row r="507">
      <c r="A507" s="52" t="n"/>
    </row>
    <row r="508">
      <c r="A508" s="52" t="n"/>
    </row>
    <row r="509">
      <c r="A509" s="52" t="n"/>
    </row>
    <row r="510">
      <c r="A510" s="52" t="n"/>
    </row>
    <row r="511">
      <c r="A511" s="52" t="n"/>
    </row>
    <row r="512">
      <c r="A512" s="52" t="n"/>
    </row>
    <row r="513">
      <c r="A513" s="52" t="n"/>
    </row>
    <row r="514">
      <c r="A514" s="52" t="n"/>
    </row>
    <row r="515">
      <c r="A515" s="52" t="n"/>
    </row>
    <row r="516">
      <c r="A516" s="52" t="n"/>
    </row>
    <row r="517">
      <c r="A517" s="52" t="n"/>
    </row>
    <row r="518">
      <c r="A518" s="52" t="n"/>
    </row>
    <row r="519">
      <c r="A519" s="52" t="n"/>
    </row>
    <row r="520">
      <c r="A520" s="52" t="n"/>
    </row>
    <row r="521">
      <c r="A521" s="52" t="n"/>
    </row>
    <row r="522">
      <c r="A522" s="52" t="n"/>
    </row>
    <row r="523">
      <c r="A523" s="52" t="n"/>
    </row>
    <row r="524">
      <c r="A524" s="52" t="n"/>
    </row>
    <row r="525">
      <c r="A525" s="52" t="n"/>
    </row>
    <row r="526">
      <c r="A526" s="52" t="n"/>
    </row>
    <row r="527">
      <c r="A527" s="52" t="n"/>
    </row>
    <row r="528">
      <c r="A528" s="52" t="n"/>
    </row>
    <row r="529">
      <c r="A529" s="52" t="n"/>
    </row>
    <row r="530">
      <c r="A530" s="52" t="n"/>
    </row>
    <row r="531">
      <c r="A531" s="52" t="n"/>
    </row>
    <row r="532">
      <c r="A532" s="52" t="n"/>
    </row>
    <row r="533">
      <c r="A533" s="52" t="n"/>
    </row>
    <row r="534">
      <c r="A534" s="52" t="n"/>
    </row>
    <row r="535">
      <c r="A535" s="52" t="n"/>
    </row>
    <row r="536">
      <c r="A536" s="52" t="n"/>
    </row>
    <row r="537">
      <c r="A537" s="52" t="n"/>
    </row>
    <row r="538">
      <c r="A538" s="52" t="n"/>
    </row>
    <row r="539">
      <c r="A539" s="52" t="n"/>
    </row>
    <row r="540">
      <c r="A540" s="52" t="n"/>
    </row>
    <row r="541">
      <c r="A541" s="52" t="n"/>
    </row>
    <row r="542">
      <c r="A542" s="52" t="n"/>
    </row>
    <row r="543">
      <c r="A543" s="52" t="n"/>
    </row>
    <row r="544">
      <c r="A544" s="52" t="n"/>
    </row>
    <row r="545">
      <c r="A545" s="52" t="n"/>
    </row>
    <row r="546">
      <c r="A546" s="52" t="n"/>
    </row>
    <row r="547">
      <c r="A547" s="52" t="n"/>
    </row>
    <row r="548">
      <c r="A548" s="52" t="n"/>
    </row>
    <row r="549">
      <c r="A549" s="52" t="n"/>
    </row>
    <row r="550">
      <c r="A550" s="52" t="n"/>
    </row>
    <row r="551">
      <c r="A551" s="52" t="n"/>
    </row>
    <row r="552">
      <c r="A552" s="52" t="n"/>
    </row>
    <row r="553">
      <c r="A553" s="52" t="n"/>
    </row>
    <row r="554">
      <c r="A554" s="52" t="n"/>
    </row>
    <row r="555">
      <c r="A555" s="52" t="n"/>
    </row>
    <row r="556">
      <c r="A556" s="52" t="n"/>
    </row>
    <row r="557">
      <c r="A557" s="52" t="n"/>
    </row>
    <row r="558">
      <c r="A558" s="52" t="n"/>
    </row>
    <row r="559">
      <c r="A559" s="52" t="n"/>
    </row>
    <row r="560">
      <c r="A560" s="52" t="n"/>
    </row>
    <row r="561">
      <c r="A561" s="52" t="n"/>
    </row>
    <row r="562">
      <c r="A562" s="52" t="n"/>
    </row>
    <row r="563">
      <c r="A563" s="52" t="n"/>
    </row>
    <row r="564">
      <c r="A564" s="52" t="n"/>
    </row>
    <row r="565">
      <c r="A565" s="52" t="n"/>
    </row>
    <row r="566">
      <c r="A566" s="52" t="n"/>
    </row>
    <row r="567">
      <c r="A567" s="52" t="n"/>
    </row>
    <row r="568">
      <c r="A568" s="52" t="n"/>
    </row>
    <row r="569">
      <c r="A569" s="52" t="n"/>
    </row>
    <row r="570">
      <c r="A570" s="52" t="n"/>
    </row>
    <row r="571">
      <c r="A571" s="52" t="n"/>
    </row>
    <row r="572">
      <c r="A572" s="52" t="n"/>
    </row>
    <row r="573">
      <c r="A573" s="52" t="n"/>
    </row>
    <row r="574">
      <c r="A574" s="52" t="n"/>
    </row>
    <row r="575">
      <c r="A575" s="52" t="n"/>
    </row>
    <row r="576">
      <c r="A576" s="52" t="n"/>
    </row>
    <row r="577">
      <c r="A577" s="52" t="n"/>
    </row>
    <row r="578">
      <c r="A578" s="52" t="n"/>
    </row>
    <row r="579">
      <c r="A579" s="52" t="n"/>
    </row>
    <row r="580">
      <c r="A580" s="52" t="n"/>
    </row>
    <row r="581">
      <c r="A581" s="52" t="n"/>
    </row>
    <row r="582">
      <c r="A582" s="52" t="n"/>
    </row>
    <row r="583">
      <c r="A583" s="52" t="n"/>
    </row>
    <row r="584">
      <c r="A584" s="52" t="n"/>
    </row>
    <row r="585">
      <c r="A585" s="52" t="n"/>
    </row>
    <row r="586">
      <c r="A586" s="52" t="n"/>
    </row>
    <row r="587">
      <c r="A587" s="52" t="n"/>
    </row>
    <row r="588">
      <c r="A588" s="52" t="n"/>
    </row>
    <row r="589">
      <c r="A589" s="52" t="n"/>
    </row>
    <row r="590">
      <c r="A590" s="52" t="n"/>
    </row>
    <row r="591">
      <c r="A591" s="52" t="n"/>
    </row>
    <row r="592">
      <c r="A592" s="52" t="n"/>
    </row>
    <row r="593">
      <c r="A593" s="52" t="n"/>
    </row>
    <row r="594">
      <c r="A594" s="52" t="n"/>
    </row>
    <row r="595">
      <c r="A595" s="52" t="n"/>
    </row>
    <row r="596">
      <c r="A596" s="52" t="n"/>
    </row>
    <row r="597">
      <c r="A597" s="52" t="n"/>
    </row>
    <row r="598">
      <c r="A598" s="52" t="n"/>
    </row>
    <row r="599">
      <c r="A599" s="52" t="n"/>
    </row>
    <row r="600">
      <c r="A600" s="52" t="n"/>
    </row>
    <row r="601">
      <c r="A601" s="52" t="n"/>
    </row>
    <row r="602">
      <c r="A602" s="52" t="n"/>
    </row>
    <row r="603">
      <c r="A603" s="52" t="n"/>
    </row>
    <row r="604">
      <c r="A604" s="52" t="n"/>
    </row>
    <row r="605">
      <c r="A605" s="52" t="n"/>
    </row>
    <row r="606">
      <c r="A606" s="52" t="n"/>
    </row>
    <row r="607">
      <c r="A607" s="52" t="n"/>
    </row>
    <row r="608">
      <c r="A608" s="52" t="n"/>
    </row>
    <row r="609">
      <c r="A609" s="52" t="n"/>
    </row>
    <row r="610">
      <c r="A610" s="52" t="n"/>
    </row>
    <row r="611">
      <c r="A611" s="52" t="n"/>
    </row>
    <row r="612">
      <c r="A612" s="52" t="n"/>
    </row>
    <row r="613">
      <c r="A613" s="52" t="n"/>
    </row>
    <row r="614">
      <c r="A614" s="52" t="n"/>
    </row>
    <row r="615">
      <c r="A615" s="52" t="n"/>
    </row>
    <row r="616">
      <c r="A616" s="52" t="n"/>
    </row>
    <row r="617">
      <c r="A617" s="52" t="n"/>
    </row>
    <row r="618">
      <c r="A618" s="52" t="n"/>
    </row>
    <row r="619">
      <c r="A619" s="52" t="n"/>
    </row>
    <row r="620">
      <c r="A620" s="5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cols>
    <col width="152.42578125" customWidth="1" min="1" max="1"/>
  </cols>
  <sheetData>
    <row r="1" ht="18.75" customHeight="1">
      <c r="A1" s="2" t="inlineStr">
        <is>
          <t># CLAUDE.md — LineToolingOptimization</t>
        </is>
      </c>
    </row>
    <row r="3">
      <c r="A3" t="inlineStr">
        <is>
          <t>## Project Overview</t>
        </is>
      </c>
    </row>
    <row r="4">
      <c r="A4" t="inlineStr">
        <is>
          <t>Models production line allocation for a manufacturing facility producing multiple products</t>
        </is>
      </c>
    </row>
    <row r="5">
      <c r="A5" t="inlineStr">
        <is>
          <t>on shared lines. Optimizes: (1) how many lines per year, (2) which products on which lines,</t>
        </is>
      </c>
    </row>
    <row r="6">
      <c r="A6" t="inlineStr">
        <is>
          <t>(3) volume per line, (4) total tooling investment (mechanical + optical sets).</t>
        </is>
      </c>
    </row>
    <row r="7">
      <c r="A7" t="inlineStr">
        <is>
          <t>Goal: minimize tooling while meeting demand and respecting time-based capacity constraints.</t>
        </is>
      </c>
    </row>
    <row r="9">
      <c r="A9" t="inlineStr">
        <is>
          <t>## Inputs (Blad1 sheet)</t>
        </is>
      </c>
    </row>
    <row r="10">
      <c r="A10" t="inlineStr">
        <is>
          <t>- Volume Demand: A1, rows 3-19, cols B-L (years 2025-2041, 10 products)</t>
        </is>
      </c>
    </row>
    <row r="11">
      <c r="A11" t="inlineStr">
        <is>
          <t>- Production Setup: A21, B22-B27 (hours/shift=7.2, shifts=3, days=6, weeks=48 -&gt; 22,394,880 sec/yr)</t>
        </is>
      </c>
    </row>
    <row r="12">
      <c r="A12" t="inlineStr">
        <is>
          <t>- Cycle Time: A29, rows 31-45, cols B-L (15 lines x 10 products, default 12s)</t>
        </is>
      </c>
    </row>
    <row r="13">
      <c r="A13" t="inlineStr">
        <is>
          <t>- OEE: A47, rows 49-63, cols B-L (15 lines x 10 products, default 85%)</t>
        </is>
      </c>
    </row>
    <row r="14">
      <c r="A14" t="inlineStr">
        <is>
          <t>- Mechanical Tooling Matrix: A67, rows 70-79, cols C-L (10x10, currently identity)</t>
        </is>
      </c>
    </row>
    <row r="15">
      <c r="A15" t="inlineStr">
        <is>
          <t>- Optical Tooling Matrix: A81, rows 84-93, cols C-L (10x10, currently identity)</t>
        </is>
      </c>
    </row>
    <row r="17">
      <c r="A17" t="inlineStr">
        <is>
          <t>## Output Grid</t>
        </is>
      </c>
    </row>
    <row r="18">
      <c r="A18" t="inlineStr">
        <is>
          <t>- Location: A95, data rows 98-114, cols C-EV (150 columns = 15 lines x 10 products)</t>
        </is>
      </c>
    </row>
    <row r="19">
      <c r="A19" t="inlineStr">
        <is>
          <t>- Column mapping: Line 1 = C-L, Line 2 = M-V, Line 3 = W-AF, Line 4 = AG-AP, ...</t>
        </is>
      </c>
    </row>
    <row r="20">
      <c r="A20" t="inlineStr">
        <is>
          <t>- Each cell = units allocated to that product on that line for that year</t>
        </is>
      </c>
    </row>
    <row r="21">
      <c r="A21" t="inlineStr">
        <is>
          <t>- Validation: rows 116-135 with sum formulas and OK/MISMATCH checks</t>
        </is>
      </c>
    </row>
    <row r="23">
      <c r="A23" t="inlineStr">
        <is>
          <t>## Key Constraints</t>
        </is>
      </c>
    </row>
    <row r="24">
      <c r="A24" t="inlineStr">
        <is>
          <t>HARD: (1) Demand satisfaction, (2) Time capacity: SUM(units*cycle/OEE) &lt;= avail_seconds per line,</t>
        </is>
      </c>
    </row>
    <row r="25">
      <c r="A25" t="inlineStr">
        <is>
          <t>(3) Line 1 = validation line: MUST run ALL active products every year.</t>
        </is>
      </c>
    </row>
    <row r="26">
      <c r="A26" t="inlineStr">
        <is>
          <t>SOFT (priority order): (1) Minimize lines, (2) Minimize tooling sets, (3) Minimize mixing.</t>
        </is>
      </c>
    </row>
    <row r="28">
      <c r="A28" t="inlineStr">
        <is>
          <t>## Algorithm (Planned-Role Approach)</t>
        </is>
      </c>
    </row>
    <row r="30">
      <c r="A30" t="inlineStr">
        <is>
          <t>### Line 1 (Validation)</t>
        </is>
      </c>
    </row>
    <row r="31">
      <c r="A31" t="inlineStr">
        <is>
          <t>- If total demand fits on 1 line -&gt; put everything on Line 1</t>
        </is>
      </c>
    </row>
    <row r="32">
      <c r="A32" t="inlineStr">
        <is>
          <t>- If small products (all except dominant) fit on Line 1 -&gt; put ALL small products first,</t>
        </is>
      </c>
    </row>
    <row r="33">
      <c r="A33" t="inlineStr">
        <is>
          <t xml:space="preserve">  fill remaining time with dominant product (avoids overflow lines for small products)</t>
        </is>
      </c>
    </row>
    <row r="34">
      <c r="A34" t="inlineStr">
        <is>
          <t>- Otherwise -&gt; proportional fill across all products</t>
        </is>
      </c>
    </row>
    <row r="36">
      <c r="A36" t="inlineStr">
        <is>
          <t>### Lines 2+ (Overflow)</t>
        </is>
      </c>
    </row>
    <row r="37">
      <c r="A37" t="inlineStr">
        <is>
          <t>- Phase A: Reuse lines already tooled for the product (score +1M, no new tooling)</t>
        </is>
      </c>
    </row>
    <row r="38">
      <c r="A38" t="inlineStr">
        <is>
          <t>- Phase B: Pack onto already-open lines (score +500K, avoids new line)</t>
        </is>
      </c>
    </row>
    <row r="39">
      <c r="A39">
        <f t="array" ref="A39">- Phase 'C': open new Line (last resort)</f>
        <v/>
      </c>
    </row>
    <row r="41">
      <c r="A41" t="inlineStr">
        <is>
          <t>### Look-ahead Tooling</t>
        </is>
      </c>
    </row>
    <row r="42">
      <c r="A42" t="inlineStr">
        <is>
          <t>During a line's intro year, check next 3 years. If a product will be needed, pre-add</t>
        </is>
      </c>
    </row>
    <row r="43">
      <c r="A43" t="inlineStr">
        <is>
          <t>tooling (cheaper during initial supplier validation).</t>
        </is>
      </c>
    </row>
    <row r="45">
      <c r="A45" t="inlineStr">
        <is>
          <t>## Current Optimal Allocation (with current demand data)</t>
        </is>
      </c>
    </row>
    <row r="47">
      <c r="A47" t="inlineStr">
        <is>
          <t>Line | Role              | Products    | Intro | Tooling</t>
        </is>
      </c>
    </row>
    <row r="48">
      <c r="A48" t="inlineStr">
        <is>
          <t>L1   | Validation        | P1,P2,P3,P4 | 2029  | 4 mech + 4 opt</t>
        </is>
      </c>
    </row>
    <row r="49">
      <c r="A49" t="inlineStr">
        <is>
          <t>L2   | P2 dedicated      | P2           | 2031  | 1 mech + 1 opt</t>
        </is>
      </c>
    </row>
    <row r="50">
      <c r="A50" t="inlineStr">
        <is>
          <t>L3   | Small-prod shared  | P1,P3,P4    | 2032  | 3 mech + 3 opt</t>
        </is>
      </c>
    </row>
    <row r="51">
      <c r="A51" t="inlineStr">
        <is>
          <t>L4   | P2 dedicated      | P2           | 2033  | 1 mech + 1 opt</t>
        </is>
      </c>
    </row>
    <row r="52">
      <c r="A52" t="inlineStr">
        <is>
          <t>L5   | Small-prod shared  | P1,P3,P4    | 2034  | 3 mech + 3 opt</t>
        </is>
      </c>
    </row>
    <row r="53">
      <c r="A53" t="inlineStr">
        <is>
          <t>L6   | P2+P3 overflow    | P2,P3        | 2035  | 2 mech + 2 opt</t>
        </is>
      </c>
    </row>
    <row r="54">
      <c r="A54" t="inlineStr">
        <is>
          <t>TOTAL:                                           14 mech + 14 opt = 28 sets</t>
        </is>
      </c>
    </row>
    <row r="56">
      <c r="A56" t="inlineStr">
        <is>
          <t>Line count by year: 1-&gt;1-&gt;2-&gt;3-&gt;4-&gt;5-&gt;6-&gt;6-&gt;3-&gt;1 (all theory-minimum)</t>
        </is>
      </c>
    </row>
    <row r="58">
      <c r="A58" t="inlineStr">
        <is>
          <t>## Key Design Decisions</t>
        </is>
      </c>
    </row>
    <row r="60">
      <c r="A60" t="inlineStr">
        <is>
          <t>1. TIME-BASED CAPACITY: units * cycle_time / OEE, not flat unit caps.</t>
        </is>
      </c>
    </row>
    <row r="61">
      <c r="A61" t="inlineStr">
        <is>
          <t xml:space="preserve">   Max ~1,586,304 units/yr for single product at 12s/85%.</t>
        </is>
      </c>
    </row>
    <row r="63">
      <c r="A63" t="inlineStr">
        <is>
          <t>2. LINE 1 PRIORITIZES SMALL PRODUCTS: When P1+P3+P4 fit on L1, give them ALL their</t>
        </is>
      </c>
    </row>
    <row r="64">
      <c r="A64" t="inlineStr">
        <is>
          <t xml:space="preserve">   demand first. This prevents small products needing their own overflow lines.</t>
        </is>
      </c>
    </row>
    <row r="66">
      <c r="A66" t="inlineStr">
        <is>
          <t>3. DEDICATED OVERFLOW LINES: P2 (dominant ~4x others) gets dedicated lines.</t>
        </is>
      </c>
    </row>
    <row r="67">
      <c r="A67" t="inlineStr">
        <is>
          <t xml:space="preserve">   Only mix at peak when small products slightly overflow L3+L5 capacity.</t>
        </is>
      </c>
    </row>
    <row r="69">
      <c r="A69" t="inlineStr">
        <is>
          <t>4. 3-YEAR LOOK-AHEAD: Pre-add tooling during intro year for products needed within 3 years.</t>
        </is>
      </c>
    </row>
    <row r="71">
      <c r="A71" t="inlineStr">
        <is>
          <t>5. TOOLING MATRICES: 10x10 compatibility. Currently identity (no sharing).</t>
        </is>
      </c>
    </row>
    <row r="72">
      <c r="A72" t="inlineStr">
        <is>
          <t xml:space="preserve">   When updated, products sharing tooling reduce total sets needed.</t>
        </is>
      </c>
    </row>
    <row r="74">
      <c r="A74" t="inlineStr">
        <is>
          <t>## File Structure</t>
        </is>
      </c>
    </row>
    <row r="75">
      <c r="A75">
        <f t="array" ref="A75">- LineToolingOptimization.xlsx: workbook with all data + results</f>
        <v/>
      </c>
    </row>
    <row r="76">
      <c r="A76">
        <f t="array" ref="A76">- solver.py: standalone Python optimizer (pip install openpyxl)</f>
        <v/>
      </c>
    </row>
    <row r="77">
      <c r="A77">
        <f t="array" ref="A77">- CLAUDE.md: this documentation</f>
        <v/>
      </c>
    </row>
    <row r="79">
      <c r="A79" t="inlineStr">
        <is>
          <t>## How to Re-run</t>
        </is>
      </c>
    </row>
    <row r="80">
      <c r="A80" t="inlineStr">
        <is>
          <t>1. Modify demand/cycle times/OEE/tooling on Blad1</t>
        </is>
      </c>
    </row>
    <row r="81">
      <c r="A81" t="inlineStr">
        <is>
          <t>2. Run: python solver.py YourWorkbook.xlsx</t>
        </is>
      </c>
    </row>
    <row r="82">
      <c r="A82" t="inlineStr">
        <is>
          <t>3. Check validation rows 119-135 on Blad1 (all should show OK)</t>
        </is>
      </c>
    </row>
    <row r="83">
      <c r="A83" t="inlineStr">
        <is>
          <t>4. Review Summary sheet for updated line count, utilization, tooling</t>
        </is>
      </c>
    </row>
    <row r="85">
      <c r="A85" t="inlineStr">
        <is>
          <t>## What Could Change</t>
        </is>
      </c>
    </row>
    <row r="86">
      <c r="A86" t="inlineStr">
        <is>
          <t>- New products P5-P10: just add demand data, solver handles up to 10</t>
        </is>
      </c>
    </row>
    <row r="87">
      <c r="A87" t="inlineStr">
        <is>
          <t>- Different cycle times per product/line: update the matrix rows 31-45</t>
        </is>
      </c>
    </row>
    <row r="88">
      <c r="A88" t="inlineStr">
        <is>
          <t>- Tooling sharing: change identity matrices to reflect product families</t>
        </is>
      </c>
    </row>
    <row r="89">
      <c r="A89" t="inlineStr">
        <is>
          <t>- More/fewer lines: change NUM_LINES in solver.py (currently 15)</t>
        </is>
      </c>
    </row>
    <row r="90">
      <c r="A90" t="inlineStr">
        <is>
          <t>- Different look-ahead: change LOOK_AHEAD_YEARS (currently 3)</t>
        </is>
      </c>
    </row>
    <row r="92">
      <c r="A92" t="inlineStr">
        <is>
          <t>## Known Limitations</t>
        </is>
      </c>
    </row>
    <row r="93">
      <c r="A93" t="inlineStr">
        <is>
          <t>- Greedy heuristic, not global optimizer (early year decisions affect later)</t>
        </is>
      </c>
    </row>
    <row r="94">
      <c r="A94" t="inlineStr">
        <is>
          <t>- Tooling sharing matrices read but not fully exploited in scoring yet</t>
        </is>
      </c>
    </row>
    <row r="95">
      <c r="A95" t="inlineStr">
        <is>
          <t>- No changeover time modeling between products on same line</t>
        </is>
      </c>
    </row>
    <row r="96">
      <c r="A96">
        <f t="array" ref="A96">- No cost optimization (Tooling cost vs Line investment vs changeover cost)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2026-04-10T18:20:41Z</dcterms:created>
  <dcterms:modified xmlns:dcterms="http://purl.org/dc/terms/" xmlns:xsi="http://www.w3.org/2001/XMLSchema-instance" xsi:type="dcterms:W3CDTF">2026-04-11T17:06:08Z</dcterms:modified>
</cp:coreProperties>
</file>